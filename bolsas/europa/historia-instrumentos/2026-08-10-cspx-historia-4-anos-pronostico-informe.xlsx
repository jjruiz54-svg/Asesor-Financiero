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KPI" sheetId="1" state="visible" r:id="rId3"/>
    <sheet name="Rentabilidad Anual" sheetId="2" state="visible" r:id="rId4"/>
    <sheet name="Historico Indexado" sheetId="3" state="visible" r:id="rId5"/>
    <sheet name="Escenarios 6M" sheetId="4" state="visible" r:id="rId6"/>
    <sheet name="Fuentes y No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<sst xmlns="http://schemas.openxmlformats.org/spreadsheetml/2006/main" count="143" uniqueCount="110">
  <si>
    <t xml:space="preserve">CSPX — iShares Core S&amp;P 500 UCITS ETF (Acc)</t>
  </si>
  <si>
    <t xml:space="preserve">Informe histórico 2021-2026 (detalle 2022-2026) y pronóstico a 6 meses — ISIN IE00B5BMR087</t>
  </si>
  <si>
    <t xml:space="preserve">Fecha de análisis: 2026-08-10  |  Fecha de corte de datos: 2026-08-04 a 2026-08-10  |  Analista/agente: bolsa-europa (Asesor Financiero)</t>
  </si>
  <si>
    <t xml:space="preserve">AVISO: documento educativo de análisis personal, no es asesoría financiera profesional. Los escenarios de pronóstico son opinión del analista, no un hecho verificado.</t>
  </si>
  <si>
    <t xml:space="preserve">Indicadores clave (KPI)</t>
  </si>
  <si>
    <t xml:space="preserve">KPI</t>
  </si>
  <si>
    <t xml:space="preserve">Valor</t>
  </si>
  <si>
    <t xml:space="preserve">Unidad</t>
  </si>
  <si>
    <t xml:space="preserve">Fuente / fecha</t>
  </si>
  <si>
    <t xml:space="preserve">Precio actual (línea LSE, CSPX.L)</t>
  </si>
  <si>
    <t xml:space="preserve">USD</t>
  </si>
  <si>
    <t xml:space="preserve">Yahoo Finance / stockanalysis.com, 2026-08-07</t>
  </si>
  <si>
    <t xml:space="preserve">Rango 52 semanas — mínimo</t>
  </si>
  <si>
    <t xml:space="preserve">Yahoo Finance / stockanalysis.com, 2026-08-10</t>
  </si>
  <si>
    <t xml:space="preserve">Rango 52 semanas — máximo</t>
  </si>
  <si>
    <t xml:space="preserve">Rentabilidad YTD 2026 (aprox.)</t>
  </si>
  <si>
    <t xml:space="preserve">%</t>
  </si>
  <si>
    <t xml:space="preserve">stockanalysis.com / investing.com, 2026-08-04</t>
  </si>
  <si>
    <t xml:space="preserve">TER (comisión total anual)</t>
  </si>
  <si>
    <t xml:space="preserve">Morningstar / Yahoo Finance, 2026-07-29</t>
  </si>
  <si>
    <t xml:space="preserve">P/E forward S&amp;P 500 (referencia índice)</t>
  </si>
  <si>
    <t xml:space="preserve">x</t>
  </si>
  <si>
    <t xml:space="preserve">GuruFocus / FactSet, 2026-08-07</t>
  </si>
  <si>
    <t xml:space="preserve">P/E trailing S&amp;P 500 (referencia índice)</t>
  </si>
  <si>
    <t xml:space="preserve">Tasa Fed (Federal Funds Rate, techo)</t>
  </si>
  <si>
    <t xml:space="preserve">Reserva Federal, 2026-07-29 (mantenida, voto 9-3)</t>
  </si>
  <si>
    <t xml:space="preserve">Tasa BCE (facilidad de depósito)</t>
  </si>
  <si>
    <t xml:space="preserve">BCE, 2026-07-23 (mercado descuenta subida 10-sep-2026)</t>
  </si>
  <si>
    <t xml:space="preserve">Tasa Banco de Inglaterra (Bank Rate)</t>
  </si>
  <si>
    <t xml:space="preserve">Prensa financiera UK, 2026-07-30</t>
  </si>
  <si>
    <t xml:space="preserve">EUR/USD</t>
  </si>
  <si>
    <t xml:space="preserve">ratio</t>
  </si>
  <si>
    <t xml:space="preserve">BCE eurofxref / agregadores, 2026-08-10</t>
  </si>
  <si>
    <t xml:space="preserve">GBP/USD</t>
  </si>
  <si>
    <t xml:space="preserve">Agregadores de mercado, 2026-08-10</t>
  </si>
  <si>
    <t xml:space="preserve">Métricas calculadas (fórmulas sobre la hoja 'Rentabilidad Anual')</t>
  </si>
  <si>
    <t xml:space="preserve">Métrica</t>
  </si>
  <si>
    <t xml:space="preserve">Nota</t>
  </si>
  <si>
    <t xml:space="preserve">Mejor año del periodo (rentabilidad)</t>
  </si>
  <si>
    <t xml:space="preserve">Incluye 2026 YTD (parcial)</t>
  </si>
  <si>
    <t xml:space="preserve">Peor año del periodo (rentabilidad)</t>
  </si>
  <si>
    <t xml:space="preserve">Rentabilidad media anual (simple, 2021-2025)</t>
  </si>
  <si>
    <t xml:space="preserve">Solo años calendario completos 2021-2025</t>
  </si>
  <si>
    <t xml:space="preserve">CAGR 2021-2025 (5 años completos)</t>
  </si>
  <si>
    <t xml:space="preserve">Tasa de crecimiento anual compuesta 2021-2025 (5 años completos)</t>
  </si>
  <si>
    <t xml:space="preserve">Volatilidad (desv. estándar) rentabilidad anual 2021-2025</t>
  </si>
  <si>
    <t xml:space="preserve">Desv. estándar de rentabilidades anuales 2021-2025 (no es la volatilidad diaria/anualizada oficial del proveedor)</t>
  </si>
  <si>
    <t xml:space="preserve">Índice acumulado (base 100 = fin 2020) a la fecha de corte</t>
  </si>
  <si>
    <t xml:space="preserve">pts</t>
  </si>
  <si>
    <t xml:space="preserve">Base 100 = fin de 2020; a fecha de corte 2026-08-10 (parcial)</t>
  </si>
  <si>
    <t xml:space="preserve">Leyenda: texto azul = dato de entrada (hardcoded, con fuente citada) · texto negro = fórmula calculada.</t>
  </si>
  <si>
    <t xml:space="preserve">Rentabilidad anual de CSPX (total return en USD, dividendos reinvertidos, clase Acc)</t>
  </si>
  <si>
    <t xml:space="preserve">2021 se incluye como año de contexto/arranque de la ventana de 5 años exigida por CLAUDE.md §4.4; el foco solicitado por el usuario son los últimos 4 años (2022-2026).</t>
  </si>
  <si>
    <t xml:space="preserve">Año</t>
  </si>
  <si>
    <t xml:space="preserve">Rentabilidad anual</t>
  </si>
  <si>
    <t xml:space="preserve">¿Año negativo?</t>
  </si>
  <si>
    <t xml:space="preserve">Fuente</t>
  </si>
  <si>
    <t xml:space="preserve">Fecha de consulta</t>
  </si>
  <si>
    <t xml:space="preserve">2021</t>
  </si>
  <si>
    <t xml:space="preserve">Yahoo Finance / Morningstar (reutilizado de ficha 2026-07-24)</t>
  </si>
  <si>
    <t xml:space="preserve">2026-07-24</t>
  </si>
  <si>
    <t xml:space="preserve">2022</t>
  </si>
  <si>
    <t xml:space="preserve">2023</t>
  </si>
  <si>
    <t xml:space="preserve">2024</t>
  </si>
  <si>
    <t xml:space="preserve">2025</t>
  </si>
  <si>
    <t xml:space="preserve">2026 (YTD, parcial)</t>
  </si>
  <si>
    <t xml:space="preserve">stockanalysis.com / investing.com (agregador)</t>
  </si>
  <si>
    <t xml:space="preserve">2026-08-04</t>
  </si>
  <si>
    <t xml:space="preserve">Nota: 2026 es un año parcial (year-to-date), no un cierre de año.</t>
  </si>
  <si>
    <t xml:space="preserve">Rentabilidad acumulada indexada de CSPX (base 100 = cierre de 2020)</t>
  </si>
  <si>
    <t xml:space="preserve">Cálculo propio derivado de la tabla de rentabilidades anuales verificadas (hoja 'Rentabilidad Anual'); no es una serie de precios de cierre real del proveedor. El punto de 2026 es un año parcial (YTD).</t>
  </si>
  <si>
    <t xml:space="preserve">Fin de periodo</t>
  </si>
  <si>
    <t xml:space="preserve">Índice (base 100 = fin 2020)</t>
  </si>
  <si>
    <t xml:space="preserve">2020 (referencia, fuera de la ventana de 5 años)</t>
  </si>
  <si>
    <t xml:space="preserve">Punto de partida fijado en 100 por convención.</t>
  </si>
  <si>
    <t xml:space="preserve">Año parcial (YTD), no cierre de año.</t>
  </si>
  <si>
    <t xml:space="preserve">Crecimiento acumulado del periodo (2020 → fecha de corte)</t>
  </si>
  <si>
    <t xml:space="preserve">Pronóstico a 6 meses de CSPX (10-ago-2026 a ~10-feb-2027)</t>
  </si>
  <si>
    <t xml:space="preserve">OPINIÓN / PROYECCIÓN EDUCATIVA del analista — no es un hecho verificado ni una recomendación de inversión. Rentabilidad en USD, sin efecto de divisa para el inversor europeo.</t>
  </si>
  <si>
    <t xml:space="preserve">Escenario</t>
  </si>
  <si>
    <t xml:space="preserve">Rango mínimo</t>
  </si>
  <si>
    <t xml:space="preserve">Rango máximo</t>
  </si>
  <si>
    <t xml:space="preserve">Supuestos clave (resumen)</t>
  </si>
  <si>
    <t xml:space="preserve">Rango (pp)</t>
  </si>
  <si>
    <t xml:space="preserve">Alcista</t>
  </si>
  <si>
    <t xml:space="preserve">Reapertura del Estrecho de Ormuz normaliza el petróleo; Fed no sube en septiembre; BCE sube sin generar inestabilidad; resultados T3 de las 'Magnificent Seven' sorprenden al alza.</t>
  </si>
  <si>
    <t xml:space="preserve">Base</t>
  </si>
  <si>
    <t xml:space="preserve">Petróleo estable en 90-100 USD/barril; Fed mantiene tasas en 3.50%-3.75%; BCE ejecuta la subida ya descontada del 10-sep-2026 sin corrección significativa; volatilidad puntual sin escalada mayor.</t>
  </si>
  <si>
    <t xml:space="preserve">Bajista</t>
  </si>
  <si>
    <t xml:space="preserve">Colapsan las negociaciones de Ormuz y se reactiva el conflicto con Irán; Fed y BCE endurecen más de lo esperado; corrección en las 'Magnificent Seven'; agravamiento del frente de Ucrania.</t>
  </si>
  <si>
    <t xml:space="preserve">Nota metodológica: el gráfico usa una barra base invisible (=mínimo del rango) apilada bajo una barra visible (=máximo-mínimo) para representar el rango de cada escenario en un único eje.</t>
  </si>
  <si>
    <t xml:space="preserve">Fuentes consultadas y notas de transparencia</t>
  </si>
  <si>
    <t xml:space="preserve">Documento fuente completo: bolsas/europa/historia-instrumentos/2026-08-10-cspx-historia-4-anos-pronostico.md</t>
  </si>
  <si>
    <t xml:space="preserve">Fuentes principales:</t>
  </si>
  <si>
    <t xml:space="preserve">- Banco Central Europeo (BCE) — https://www.ecb.europa.eu, consultado 2026-08-10.</t>
  </si>
  <si>
    <t xml:space="preserve">- Reuters (vía Investing.com) — decisión del BCE y expectativa de subida en septiembre de 2026, consultado 2026-08-10.</t>
  </si>
  <si>
    <t xml:space="preserve">- Bloomberg — decisión de la Fed del 29 de julio de 2026, consultado 2026-08-10.</t>
  </si>
  <si>
    <t xml:space="preserve">- Euronews — decisión del BCE de junio de 2026 y balance del acuerdo 'Turnberry', consultado 2026-08-10.</t>
  </si>
  <si>
    <t xml:space="preserve">- Yahoo Finance — cotización de CSPX.L / CSPX.AS / CSSPX.MI / CSP1.L, consultado 2026-08-10.</t>
  </si>
  <si>
    <t xml:space="preserve">- Morningstar — ficha de rendimiento y perfil de CSPX, consultado 2026-07-29 (reutilizado).</t>
  </si>
  <si>
    <t xml:space="preserve">- Investing.com — cotización histórica de CSPX y de EUR/USD, consultado 2026-08-10.</t>
  </si>
  <si>
    <t xml:space="preserve">- CNN Business / CNBC — máximos históricos del S&amp;P 500 en agosto de 2026, consultado 2026-08-10.</t>
  </si>
  <si>
    <t xml:space="preserve">- Federal Reserve — calendario oficial de reuniones del FOMC 2026, consultado 2026-08-10.</t>
  </si>
  <si>
    <t xml:space="preserve">- GuruFocus / FactSet — P/E del S&amp;P 500 (forward y trailing), consultado 2026-08-10.</t>
  </si>
  <si>
    <t xml:space="preserve">Notas de transparencia:</t>
  </si>
  <si>
    <t xml:space="preserve">- Varias cifras (2021-2025) se reutilizan de fichas previas de este repositorio (cortes 2026-07-24 y 2026-07-29), citando su fuente original.</t>
  </si>
  <si>
    <t xml:space="preserve">- El precio de la línea en euros (CSPX.AS/SXR8) se calculó de forma indirecta ante una inconsistencia detectada en los resultados de búsqueda; se declara como estimación.</t>
  </si>
  <si>
    <t xml:space="preserve">- El patrimonio gestionado (AUM) exacto no pudo verificarse de forma independiente con una fuente de la lista de confianza del sub-agente en esta actualización.</t>
  </si>
  <si>
    <t xml:space="preserve">- Los rangos de los escenarios a 6 meses son opinión/proyección educativa del analista, no una predicción garantizada ni asesoría de inversión.</t>
  </si>
  <si>
    <t xml:space="preserve">Este archivo es un complemento tabular/visual del informe en Markdown; en caso de discrepancia, el Markdown es la fuente autoritativa citada con fuente y fecha por cada dato.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</si>
</sst>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0.00%"/>
    <numFmt numFmtId="167" formatCode="0.0\x"/>
    <numFmt numFmtId="168" formatCode="0.0000"/>
    <numFmt numFmtId="169" formatCode="0.00"/>
    <numFmt numFmtId="170" formatCode="0.0%"/>
    <numFmt numFmtId="171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9E2F3"/>
      </patternFill>
    </fill>
    <fill>
      <patternFill patternType="solid">
        <fgColor rgb="FFFCE4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Rentabilidad anual de CSPX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'Rentabilidad Anual'!B4</c:f>
              <c:strCache>
                <c:ptCount val="1"/>
                <c:pt idx="0">
                  <c:v>Rentabilidad anual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'Rentabilidad Anual'!$A$5:$A$10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 (YTD, parcial)</c:v>
                </c:pt>
              </c:strCache>
            </c:strRef>
          </c:cat>
          <c:val>
            <c:numRef>
              <c:f>'Rentabilidad Anual'!$B$5:$B$10</c:f>
              <c:numCache>
                <c:formatCode>0.00%</c:formatCode>
                <c:ptCount val="6"/>
                <c:pt idx="0">
                  <c:v>0.2984</c:v>
                </c:pt>
                <c:pt idx="1">
                  <c:v>-0.1932</c:v>
                </c:pt>
                <c:pt idx="2">
                  <c:v>0.2612</c:v>
                </c:pt>
                <c:pt idx="3">
                  <c:v>0.2573</c:v>
                </c:pt>
                <c:pt idx="4">
                  <c:v>0.1805</c:v>
                </c:pt>
                <c:pt idx="5">
                  <c:v>0.1362</c:v>
                </c:pt>
              </c:numCache>
            </c:numRef>
          </c:val>
        </c:ser>
        <c:gapWidth val="150"/>
        <c:overlap val="0"/>
        <c:axId val="46390322"/>
        <c:axId val="92888006"/>
      </c:barChart>
      <c:catAx>
        <c:axId val="463903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88006"/>
        <c:crosses val="autoZero"/>
        <c:auto val="1"/>
        <c:lblAlgn val="ctr"/>
        <c:lblOffset val="100"/>
        <c:noMultiLvlLbl val="0"/>
      </c:catAx>
      <c:valAx>
        <c:axId val="928880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Rentabilidad anual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903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CSPX — evolución indexada (base 100 = fin 2020)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'Historico Indexado'!B4</c:f>
              <c:strCache>
                <c:ptCount val="1"/>
                <c:pt idx="0">
                  <c:v>Índice (base 100 = fin 2020)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'Historico Indexado'!$A$5:$A$11</c:f>
              <c:strCache>
                <c:ptCount val="7"/>
                <c:pt idx="0">
                  <c:v>2020 (referencia, fuera de la ventana de 5 años)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 (YTD, parcial)</c:v>
                </c:pt>
              </c:strCache>
            </c:strRef>
          </c:cat>
          <c:val>
            <c:numRef>
              <c:f>'Historico Indexado'!$B$5:$B$11</c:f>
              <c:numCache>
                <c:formatCode>0.00</c:formatCode>
                <c:ptCount val="7"/>
                <c:pt idx="0">
                  <c:v>100</c:v>
                </c:pt>
                <c:pt idx="1">
                  <c:v>129.84</c:v>
                </c:pt>
                <c:pt idx="2">
                  <c:v>104.754912</c:v>
                </c:pt>
                <c:pt idx="3">
                  <c:v>132.1168950144</c:v>
                </c:pt>
                <c:pt idx="4">
                  <c:v>166.110572101605</c:v>
                </c:pt>
                <c:pt idx="5">
                  <c:v>196.093530365945</c:v>
                </c:pt>
                <c:pt idx="6">
                  <c:v>222.801469201787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151599"/>
        <c:axId val="10536015"/>
      </c:lineChart>
      <c:catAx>
        <c:axId val="751515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Fin de periodo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36015"/>
        <c:crosses val="autoZero"/>
        <c:auto val="1"/>
        <c:lblAlgn val="ctr"/>
        <c:lblOffset val="100"/>
        <c:noMultiLvlLbl val="0"/>
      </c:catAx>
      <c:valAx>
        <c:axId val="105360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Índice (base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515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Rango de rentabilidad estimada a 6 meses por escenario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'Escenarios 6M'!B4</c:f>
              <c:strCache>
                <c:ptCount val="1"/>
                <c:pt idx="0">
                  <c:v>Rango mínimo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'Escenarios 6M'!$A$5:$A$7</c:f>
              <c:strCache>
                <c:ptCount val="3"/>
                <c:pt idx="0">
                  <c:v>Alcista</c:v>
                </c:pt>
                <c:pt idx="1">
                  <c:v>Base</c:v>
                </c:pt>
                <c:pt idx="2">
                  <c:v>Bajista</c:v>
                </c:pt>
              </c:strCache>
            </c:strRef>
          </c:cat>
          <c:val>
            <c:numRef>
              <c:f>'Escenarios 6M'!$B$5:$B$7</c:f>
              <c:numCache>
                <c:formatCode>0.0%</c:formatCode>
                <c:ptCount val="3"/>
                <c:pt idx="0">
                  <c:v>0.08</c:v>
                </c:pt>
                <c:pt idx="1">
                  <c:v>0</c:v>
                </c:pt>
                <c:pt idx="2">
                  <c:v>-0.14</c:v>
                </c:pt>
              </c:numCache>
            </c:numRef>
          </c:val>
        </c:ser>
        <c:ser>
          <c:idx val="1"/>
          <c:order val="1"/>
          <c:tx>
            <c:strRef>
              <c:f>'Escenarios 6M'!E4</c:f>
              <c:strCache>
                <c:ptCount val="1"/>
                <c:pt idx="0">
                  <c:v>Rango (pp)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'Escenarios 6M'!$A$5:$A$7</c:f>
              <c:strCache>
                <c:ptCount val="3"/>
                <c:pt idx="0">
                  <c:v>Alcista</c:v>
                </c:pt>
                <c:pt idx="1">
                  <c:v>Base</c:v>
                </c:pt>
                <c:pt idx="2">
                  <c:v>Bajista</c:v>
                </c:pt>
              </c:strCache>
            </c:strRef>
          </c:cat>
          <c:val>
            <c:numRef>
              <c:f>'Escenarios 6M'!$E$5:$E$7</c:f>
              <c:numCache>
                <c:formatCode>0.0%</c:formatCode>
                <c:ptCount val="3"/>
                <c:pt idx="0">
                  <c:v>0.06</c:v>
                </c:pt>
                <c:pt idx="1">
                  <c:v>0.07</c:v>
                </c:pt>
                <c:pt idx="2">
                  <c:v>0.11</c:v>
                </c:pt>
              </c:numCache>
            </c:numRef>
          </c:val>
        </c:ser>
        <c:gapWidth val="150"/>
        <c:overlap val="100"/>
        <c:axId val="40665129"/>
        <c:axId val="75603408"/>
      </c:barChart>
      <c:catAx>
        <c:axId val="4066512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Rentabilidad estimada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03408"/>
        <c:crosses val="autoZero"/>
        <c:auto val="1"/>
        <c:lblAlgn val="ctr"/>
        <c:lblOffset val="100"/>
        <c:noMultiLvlLbl val="0"/>
      </c:catAx>
      <c:valAx>
        <c:axId val="75603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651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16</xdr:col>
      <xdr:colOff>331560</xdr:colOff>
      <xdr:row>23</xdr:row>
      <xdr:rowOff>90000</xdr:rowOff>
    </xdr:to>
    <xdr:graphicFrame>
      <xdr:nvGraphicFramePr>
        <xdr:cNvPr id="0" name="Chart 1"/>
        <xdr:cNvGraphicFramePr/>
      </xdr:nvGraphicFramePr>
      <xdr:xfrm>
        <a:off x="10893600" y="5716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130680</xdr:rowOff>
    </xdr:from>
    <xdr:to>
      <xdr:col>14</xdr:col>
      <xdr:colOff>331200</xdr:colOff>
      <xdr:row>23</xdr:row>
      <xdr:rowOff>90000</xdr:rowOff>
    </xdr:to>
    <xdr:graphicFrame>
      <xdr:nvGraphicFramePr>
        <xdr:cNvPr id="1" name="Chart 1"/>
        <xdr:cNvGraphicFramePr/>
      </xdr:nvGraphicFramePr>
      <xdr:xfrm>
        <a:off x="9470880" y="7048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130680</xdr:rowOff>
    </xdr:from>
    <xdr:to>
      <xdr:col>3</xdr:col>
      <xdr:colOff>3830400</xdr:colOff>
      <xdr:row>27</xdr:row>
      <xdr:rowOff>150120</xdr:rowOff>
    </xdr:to>
    <xdr:graphicFrame>
      <xdr:nvGraphicFramePr>
        <xdr:cNvPr id="2" name="Chart 1"/>
        <xdr:cNvGraphicFramePr/>
      </xdr:nvGraphicFramePr>
      <xdr:xfrm>
        <a:off x="0" y="30193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</row>
    <row r="4" customFormat="false" ht="27.75" hidden="false" customHeight="true" outlineLevel="0" collapsed="false">
      <c r="A4" s="3" t="s">
        <v>3</v>
      </c>
      <c r="B4" s="3"/>
      <c r="C4" s="3"/>
      <c r="D4" s="3"/>
      <c r="E4" s="3"/>
    </row>
    <row r="6" customFormat="false" ht="15" hidden="false" customHeight="false" outlineLevel="0" collapsed="false">
      <c r="A6" s="4" t="s">
        <v>4</v>
      </c>
      <c r="B6" s="4"/>
      <c r="C6" s="4"/>
      <c r="D6" s="4"/>
      <c r="E6" s="4"/>
    </row>
    <row r="7" customFormat="false" ht="15" hidden="false" customHeight="fals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/>
    </row>
    <row r="8" customFormat="false" ht="15" hidden="false" customHeight="false" outlineLevel="0" collapsed="false">
      <c r="A8" s="6" t="s">
        <v>9</v>
      </c>
      <c r="B8" s="7" t="n">
        <v>835.72</v>
      </c>
      <c r="C8" s="6" t="s">
        <v>10</v>
      </c>
      <c r="D8" s="8" t="s">
        <v>11</v>
      </c>
    </row>
    <row r="9" customFormat="false" ht="15" hidden="false" customHeight="false" outlineLevel="0" collapsed="false">
      <c r="A9" s="6" t="s">
        <v>12</v>
      </c>
      <c r="B9" s="7" t="n">
        <v>665</v>
      </c>
      <c r="C9" s="6" t="s">
        <v>10</v>
      </c>
      <c r="D9" s="8" t="s">
        <v>13</v>
      </c>
    </row>
    <row r="10" customFormat="false" ht="15" hidden="false" customHeight="false" outlineLevel="0" collapsed="false">
      <c r="A10" s="6" t="s">
        <v>14</v>
      </c>
      <c r="B10" s="7" t="n">
        <v>839</v>
      </c>
      <c r="C10" s="6" t="s">
        <v>10</v>
      </c>
      <c r="D10" s="8" t="s">
        <v>13</v>
      </c>
    </row>
    <row r="11" customFormat="false" ht="15" hidden="false" customHeight="false" outlineLevel="0" collapsed="false">
      <c r="A11" s="6" t="s">
        <v>15</v>
      </c>
      <c r="B11" s="9" t="n">
        <v>0.1362</v>
      </c>
      <c r="C11" s="6" t="s">
        <v>16</v>
      </c>
      <c r="D11" s="8" t="s">
        <v>17</v>
      </c>
    </row>
    <row r="12" customFormat="false" ht="15" hidden="false" customHeight="false" outlineLevel="0" collapsed="false">
      <c r="A12" s="6" t="s">
        <v>18</v>
      </c>
      <c r="B12" s="9" t="n">
        <v>0.0007</v>
      </c>
      <c r="C12" s="6" t="s">
        <v>16</v>
      </c>
      <c r="D12" s="8" t="s">
        <v>19</v>
      </c>
    </row>
    <row r="13" customFormat="false" ht="15" hidden="false" customHeight="false" outlineLevel="0" collapsed="false">
      <c r="A13" s="6" t="s">
        <v>20</v>
      </c>
      <c r="B13" s="10" t="n">
        <v>20.2</v>
      </c>
      <c r="C13" s="6" t="s">
        <v>21</v>
      </c>
      <c r="D13" s="8" t="s">
        <v>22</v>
      </c>
    </row>
    <row r="14" customFormat="false" ht="15" hidden="false" customHeight="false" outlineLevel="0" collapsed="false">
      <c r="A14" s="6" t="s">
        <v>23</v>
      </c>
      <c r="B14" s="10" t="n">
        <v>26.4</v>
      </c>
      <c r="C14" s="6" t="s">
        <v>21</v>
      </c>
      <c r="D14" s="8" t="s">
        <v>22</v>
      </c>
    </row>
    <row r="15" customFormat="false" ht="15" hidden="false" customHeight="false" outlineLevel="0" collapsed="false">
      <c r="A15" s="6" t="s">
        <v>24</v>
      </c>
      <c r="B15" s="9" t="n">
        <v>0.0375</v>
      </c>
      <c r="C15" s="6" t="s">
        <v>16</v>
      </c>
      <c r="D15" s="8" t="s">
        <v>25</v>
      </c>
    </row>
    <row r="16" customFormat="false" ht="15" hidden="false" customHeight="false" outlineLevel="0" collapsed="false">
      <c r="A16" s="6" t="s">
        <v>26</v>
      </c>
      <c r="B16" s="9" t="n">
        <v>0.0225</v>
      </c>
      <c r="C16" s="6" t="s">
        <v>16</v>
      </c>
      <c r="D16" s="8" t="s">
        <v>27</v>
      </c>
    </row>
    <row r="17" customFormat="false" ht="15" hidden="false" customHeight="false" outlineLevel="0" collapsed="false">
      <c r="A17" s="6" t="s">
        <v>28</v>
      </c>
      <c r="B17" s="9" t="n">
        <v>0.0375</v>
      </c>
      <c r="C17" s="6" t="s">
        <v>16</v>
      </c>
      <c r="D17" s="8" t="s">
        <v>29</v>
      </c>
    </row>
    <row r="18" customFormat="false" ht="15" hidden="false" customHeight="false" outlineLevel="0" collapsed="false">
      <c r="A18" s="6" t="s">
        <v>30</v>
      </c>
      <c r="B18" s="11" t="n">
        <v>1.1561</v>
      </c>
      <c r="C18" s="6" t="s">
        <v>31</v>
      </c>
      <c r="D18" s="8" t="s">
        <v>32</v>
      </c>
    </row>
    <row r="19" customFormat="false" ht="15" hidden="false" customHeight="false" outlineLevel="0" collapsed="false">
      <c r="A19" s="6" t="s">
        <v>33</v>
      </c>
      <c r="B19" s="11" t="n">
        <v>1.3486</v>
      </c>
      <c r="C19" s="6" t="s">
        <v>31</v>
      </c>
      <c r="D19" s="8" t="s">
        <v>34</v>
      </c>
    </row>
    <row r="21" customFormat="false" ht="15" hidden="false" customHeight="false" outlineLevel="0" collapsed="false">
      <c r="A21" s="4" t="s">
        <v>35</v>
      </c>
      <c r="B21" s="4"/>
      <c r="C21" s="4"/>
      <c r="D21" s="4"/>
      <c r="E21" s="4"/>
    </row>
    <row r="22" customFormat="false" ht="15" hidden="false" customHeight="false" outlineLevel="0" collapsed="false">
      <c r="A22" s="5" t="s">
        <v>36</v>
      </c>
      <c r="B22" s="5" t="s">
        <v>6</v>
      </c>
      <c r="C22" s="5" t="s">
        <v>7</v>
      </c>
      <c r="D22" s="5" t="s">
        <v>37</v>
      </c>
      <c r="E22" s="5"/>
    </row>
    <row r="23" customFormat="false" ht="15" hidden="false" customHeight="false" outlineLevel="0" collapsed="false">
      <c r="A23" s="6" t="s">
        <v>38</v>
      </c>
      <c r="B23" s="12" t="n">
        <f aca="false">MAX('Rentabilidad Anual'!B5:B10)</f>
        <v>0.2984</v>
      </c>
      <c r="C23" s="13" t="s">
        <v>16</v>
      </c>
      <c r="D23" s="8" t="s">
        <v>39</v>
      </c>
    </row>
    <row r="24" customFormat="false" ht="15" hidden="false" customHeight="false" outlineLevel="0" collapsed="false">
      <c r="A24" s="6" t="s">
        <v>40</v>
      </c>
      <c r="B24" s="12" t="n">
        <f aca="false">MIN('Rentabilidad Anual'!B5:B10)</f>
        <v>-0.1932</v>
      </c>
      <c r="C24" s="13" t="s">
        <v>16</v>
      </c>
      <c r="D24" s="8" t="s">
        <v>39</v>
      </c>
    </row>
    <row r="25" customFormat="false" ht="15" hidden="false" customHeight="false" outlineLevel="0" collapsed="false">
      <c r="A25" s="6" t="s">
        <v>41</v>
      </c>
      <c r="B25" s="12" t="n">
        <f aca="false">AVERAGE('Rentabilidad Anual'!B5:B9)</f>
        <v>0.16084</v>
      </c>
      <c r="C25" s="13" t="s">
        <v>16</v>
      </c>
      <c r="D25" s="8" t="s">
        <v>42</v>
      </c>
    </row>
    <row r="26" customFormat="false" ht="15" hidden="false" customHeight="false" outlineLevel="0" collapsed="false">
      <c r="A26" s="6" t="s">
        <v>43</v>
      </c>
      <c r="B26" s="12" t="n">
        <f aca="false">('Historico Indexado'!B10/'Historico Indexado'!B5)^(1/5)-1</f>
        <v>0.144175523742246</v>
      </c>
      <c r="C26" s="13" t="s">
        <v>16</v>
      </c>
      <c r="D26" s="8" t="s">
        <v>44</v>
      </c>
    </row>
    <row r="27" customFormat="false" ht="15" hidden="false" customHeight="false" outlineLevel="0" collapsed="false">
      <c r="A27" s="6" t="s">
        <v>45</v>
      </c>
      <c r="B27" s="12" t="n">
        <f aca="false">STDEV('Rentabilidad Anual'!B5:B9)</f>
        <v>0.202503241949357</v>
      </c>
      <c r="C27" s="13" t="s">
        <v>16</v>
      </c>
      <c r="D27" s="8" t="s">
        <v>46</v>
      </c>
    </row>
    <row r="28" customFormat="false" ht="15" hidden="false" customHeight="false" outlineLevel="0" collapsed="false">
      <c r="A28" s="6" t="s">
        <v>47</v>
      </c>
      <c r="B28" s="14" t="n">
        <f aca="false">'Historico Indexado'!B11</f>
        <v>222.801469201787</v>
      </c>
      <c r="C28" s="13" t="s">
        <v>48</v>
      </c>
      <c r="D28" s="8" t="s">
        <v>49</v>
      </c>
    </row>
    <row r="30" customFormat="false" ht="15" hidden="false" customHeight="false" outlineLevel="0" collapsed="false">
      <c r="A30" s="15" t="s">
        <v>50</v>
      </c>
      <c r="B30" s="15"/>
      <c r="C30" s="15"/>
      <c r="D30" s="15"/>
      <c r="E30" s="15"/>
    </row>
  </sheetData>
  <mergeCells count="7">
    <mergeCell ref="A1:E1"/>
    <mergeCell ref="A2:E2"/>
    <mergeCell ref="A3:E3"/>
    <mergeCell ref="A4:E4"/>
    <mergeCell ref="A6:E6"/>
    <mergeCell ref="A21:E21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1" t="s">
        <v>51</v>
      </c>
      <c r="B1" s="1"/>
      <c r="C1" s="1"/>
      <c r="D1" s="1"/>
      <c r="E1" s="1"/>
    </row>
    <row r="2" customFormat="false" ht="15" hidden="false" customHeight="false" outlineLevel="0" collapsed="false">
      <c r="A2" s="2" t="s">
        <v>52</v>
      </c>
      <c r="B2" s="2"/>
      <c r="C2" s="2"/>
      <c r="D2" s="2"/>
      <c r="E2" s="2"/>
    </row>
    <row r="4" customFormat="false" ht="15" hidden="false" customHeight="false" outlineLevel="0" collapsed="false">
      <c r="A4" s="5" t="s">
        <v>53</v>
      </c>
      <c r="B4" s="5" t="s">
        <v>54</v>
      </c>
      <c r="C4" s="5" t="s">
        <v>55</v>
      </c>
      <c r="D4" s="5" t="s">
        <v>56</v>
      </c>
      <c r="E4" s="5" t="s">
        <v>57</v>
      </c>
    </row>
    <row r="5" customFormat="false" ht="15" hidden="false" customHeight="false" outlineLevel="0" collapsed="false">
      <c r="A5" s="16" t="s">
        <v>58</v>
      </c>
      <c r="B5" s="17" t="n">
        <v>0.2984</v>
      </c>
      <c r="C5" s="16" t="str">
        <f aca="false">IF(B5&lt;0,"Sí","No")</f>
        <v>No</v>
      </c>
      <c r="D5" s="8" t="s">
        <v>59</v>
      </c>
      <c r="E5" s="8" t="s">
        <v>60</v>
      </c>
    </row>
    <row r="6" customFormat="false" ht="15" hidden="false" customHeight="false" outlineLevel="0" collapsed="false">
      <c r="A6" s="18" t="s">
        <v>61</v>
      </c>
      <c r="B6" s="19" t="n">
        <v>-0.1932</v>
      </c>
      <c r="C6" s="18" t="str">
        <f aca="false">IF(B6&lt;0,"Sí","No")</f>
        <v>Sí</v>
      </c>
      <c r="D6" s="8" t="s">
        <v>59</v>
      </c>
      <c r="E6" s="8" t="s">
        <v>60</v>
      </c>
    </row>
    <row r="7" customFormat="false" ht="15" hidden="false" customHeight="false" outlineLevel="0" collapsed="false">
      <c r="A7" s="16" t="s">
        <v>62</v>
      </c>
      <c r="B7" s="17" t="n">
        <v>0.2612</v>
      </c>
      <c r="C7" s="16" t="str">
        <f aca="false">IF(B7&lt;0,"Sí","No")</f>
        <v>No</v>
      </c>
      <c r="D7" s="8" t="s">
        <v>59</v>
      </c>
      <c r="E7" s="8" t="s">
        <v>60</v>
      </c>
    </row>
    <row r="8" customFormat="false" ht="15" hidden="false" customHeight="false" outlineLevel="0" collapsed="false">
      <c r="A8" s="16" t="s">
        <v>63</v>
      </c>
      <c r="B8" s="17" t="n">
        <v>0.2573</v>
      </c>
      <c r="C8" s="16" t="str">
        <f aca="false">IF(B8&lt;0,"Sí","No")</f>
        <v>No</v>
      </c>
      <c r="D8" s="8" t="s">
        <v>59</v>
      </c>
      <c r="E8" s="8" t="s">
        <v>60</v>
      </c>
    </row>
    <row r="9" customFormat="false" ht="15" hidden="false" customHeight="false" outlineLevel="0" collapsed="false">
      <c r="A9" s="16" t="s">
        <v>64</v>
      </c>
      <c r="B9" s="17" t="n">
        <v>0.1805</v>
      </c>
      <c r="C9" s="16" t="str">
        <f aca="false">IF(B9&lt;0,"Sí","No")</f>
        <v>No</v>
      </c>
      <c r="D9" s="8" t="s">
        <v>59</v>
      </c>
      <c r="E9" s="8" t="s">
        <v>60</v>
      </c>
    </row>
    <row r="10" customFormat="false" ht="15" hidden="false" customHeight="false" outlineLevel="0" collapsed="false">
      <c r="A10" s="16" t="s">
        <v>65</v>
      </c>
      <c r="B10" s="17" t="n">
        <v>0.1362</v>
      </c>
      <c r="C10" s="16" t="str">
        <f aca="false">IF(B10&lt;0,"Sí","No")</f>
        <v>No</v>
      </c>
      <c r="D10" s="8" t="s">
        <v>66</v>
      </c>
      <c r="E10" s="8" t="s">
        <v>67</v>
      </c>
    </row>
    <row r="12" customFormat="false" ht="15" hidden="false" customHeight="false" outlineLevel="0" collapsed="false">
      <c r="A12" s="15" t="s">
        <v>68</v>
      </c>
      <c r="B12" s="15"/>
      <c r="C12" s="15"/>
      <c r="D12" s="15"/>
      <c r="E12" s="15"/>
    </row>
  </sheetData>
  <mergeCells count="3">
    <mergeCell ref="A1:E1"/>
    <mergeCell ref="A2:E2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69</v>
      </c>
      <c r="B1" s="1"/>
      <c r="C1" s="1"/>
    </row>
    <row r="2" customFormat="false" ht="25.5" hidden="false" customHeight="true" outlineLevel="0" collapsed="false">
      <c r="A2" s="20" t="s">
        <v>70</v>
      </c>
      <c r="B2" s="20"/>
      <c r="C2" s="20"/>
    </row>
    <row r="4" customFormat="false" ht="15" hidden="false" customHeight="false" outlineLevel="0" collapsed="false">
      <c r="A4" s="5" t="s">
        <v>71</v>
      </c>
      <c r="B4" s="5" t="s">
        <v>72</v>
      </c>
      <c r="C4" s="5" t="s">
        <v>37</v>
      </c>
    </row>
    <row r="5" customFormat="false" ht="15" hidden="false" customHeight="false" outlineLevel="0" collapsed="false">
      <c r="A5" s="6" t="s">
        <v>73</v>
      </c>
      <c r="B5" s="21" t="n">
        <v>100</v>
      </c>
      <c r="C5" s="8" t="s">
        <v>74</v>
      </c>
    </row>
    <row r="6" customFormat="false" ht="15" hidden="false" customHeight="false" outlineLevel="0" collapsed="false">
      <c r="A6" s="6" t="s">
        <v>58</v>
      </c>
      <c r="B6" s="14" t="n">
        <f aca="false">B5*(1+'Rentabilidad Anual'!B5)</f>
        <v>129.84</v>
      </c>
      <c r="C6" s="8"/>
    </row>
    <row r="7" customFormat="false" ht="15" hidden="false" customHeight="false" outlineLevel="0" collapsed="false">
      <c r="A7" s="6" t="s">
        <v>61</v>
      </c>
      <c r="B7" s="14" t="n">
        <f aca="false">B6*(1+'Rentabilidad Anual'!B6)</f>
        <v>104.754912</v>
      </c>
      <c r="C7" s="8"/>
    </row>
    <row r="8" customFormat="false" ht="15" hidden="false" customHeight="false" outlineLevel="0" collapsed="false">
      <c r="A8" s="6" t="s">
        <v>62</v>
      </c>
      <c r="B8" s="14" t="n">
        <f aca="false">B7*(1+'Rentabilidad Anual'!B7)</f>
        <v>132.1168950144</v>
      </c>
      <c r="C8" s="8"/>
    </row>
    <row r="9" customFormat="false" ht="15" hidden="false" customHeight="false" outlineLevel="0" collapsed="false">
      <c r="A9" s="6" t="s">
        <v>63</v>
      </c>
      <c r="B9" s="14" t="n">
        <f aca="false">B8*(1+'Rentabilidad Anual'!B8)</f>
        <v>166.110572101605</v>
      </c>
      <c r="C9" s="8"/>
    </row>
    <row r="10" customFormat="false" ht="15" hidden="false" customHeight="false" outlineLevel="0" collapsed="false">
      <c r="A10" s="6" t="s">
        <v>64</v>
      </c>
      <c r="B10" s="14" t="n">
        <f aca="false">B9*(1+'Rentabilidad Anual'!B9)</f>
        <v>196.093530365945</v>
      </c>
      <c r="C10" s="8"/>
    </row>
    <row r="11" customFormat="false" ht="15" hidden="false" customHeight="false" outlineLevel="0" collapsed="false">
      <c r="A11" s="6" t="s">
        <v>65</v>
      </c>
      <c r="B11" s="14" t="n">
        <f aca="false">B10*(1+'Rentabilidad Anual'!B10)</f>
        <v>222.801469201787</v>
      </c>
      <c r="C11" s="8" t="s">
        <v>75</v>
      </c>
    </row>
    <row r="13" customFormat="false" ht="15" hidden="false" customHeight="false" outlineLevel="0" collapsed="false">
      <c r="A13" s="22" t="s">
        <v>76</v>
      </c>
      <c r="B13" s="23" t="n">
        <f aca="false">B11/B5-1</f>
        <v>1.22801469201787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70"/>
    <col collapsed="false" customWidth="true" hidden="false" outlineLevel="0" max="5" min="5" style="0" width="10"/>
  </cols>
  <sheetData>
    <row r="1" customFormat="false" ht="19.7" hidden="false" customHeight="false" outlineLevel="0" collapsed="false">
      <c r="A1" s="1" t="s">
        <v>77</v>
      </c>
      <c r="B1" s="1"/>
      <c r="C1" s="1"/>
      <c r="D1" s="1"/>
      <c r="E1" s="1"/>
    </row>
    <row r="2" customFormat="false" ht="25.5" hidden="false" customHeight="true" outlineLevel="0" collapsed="false">
      <c r="A2" s="3" t="s">
        <v>78</v>
      </c>
      <c r="B2" s="3"/>
      <c r="C2" s="3"/>
      <c r="D2" s="3"/>
      <c r="E2" s="3"/>
    </row>
    <row r="4" customFormat="false" ht="15" hidden="false" customHeight="false" outlineLevel="0" collapsed="false">
      <c r="A4" s="5" t="s">
        <v>79</v>
      </c>
      <c r="B4" s="5" t="s">
        <v>80</v>
      </c>
      <c r="C4" s="5" t="s">
        <v>81</v>
      </c>
      <c r="D4" s="5" t="s">
        <v>82</v>
      </c>
      <c r="E4" s="5" t="s">
        <v>83</v>
      </c>
    </row>
    <row r="5" customFormat="false" ht="45.75" hidden="false" customHeight="true" outlineLevel="0" collapsed="false">
      <c r="A5" s="24" t="s">
        <v>84</v>
      </c>
      <c r="B5" s="25" t="n">
        <v>0.08</v>
      </c>
      <c r="C5" s="25" t="n">
        <v>0.14</v>
      </c>
      <c r="D5" s="26" t="s">
        <v>85</v>
      </c>
      <c r="E5" s="27" t="n">
        <f aca="false">C5-B5</f>
        <v>0.06</v>
      </c>
    </row>
    <row r="6" customFormat="false" ht="45.75" hidden="false" customHeight="true" outlineLevel="0" collapsed="false">
      <c r="A6" s="28" t="s">
        <v>86</v>
      </c>
      <c r="B6" s="29" t="n">
        <v>0</v>
      </c>
      <c r="C6" s="29" t="n">
        <v>0.07</v>
      </c>
      <c r="D6" s="30" t="s">
        <v>87</v>
      </c>
      <c r="E6" s="31" t="n">
        <f aca="false">C6-B6</f>
        <v>0.07</v>
      </c>
    </row>
    <row r="7" customFormat="false" ht="45.75" hidden="false" customHeight="true" outlineLevel="0" collapsed="false">
      <c r="A7" s="32" t="s">
        <v>88</v>
      </c>
      <c r="B7" s="33" t="n">
        <v>-0.14</v>
      </c>
      <c r="C7" s="33" t="n">
        <v>-0.03</v>
      </c>
      <c r="D7" s="34" t="s">
        <v>89</v>
      </c>
      <c r="E7" s="35" t="n">
        <f aca="false">C7-B7</f>
        <v>0.11</v>
      </c>
    </row>
    <row r="27" customFormat="false" ht="11.9" hidden="false" customHeight="true" outlineLevel="0" collapsed="false">
      <c r="A27" s="36" t="s">
        <v>90</v>
      </c>
      <c r="B27" s="36"/>
      <c r="C27" s="36"/>
      <c r="D27" s="36"/>
      <c r="E27" s="36"/>
    </row>
  </sheetData>
  <mergeCells count="3">
    <mergeCell ref="A1:E1"/>
    <mergeCell ref="A2:E2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37" t="s">
        <v>91</v>
      </c>
    </row>
    <row r="3" customFormat="false" ht="15" hidden="false" customHeight="false" outlineLevel="0" collapsed="false">
      <c r="A3" s="38" t="s">
        <v>92</v>
      </c>
    </row>
    <row r="4" customFormat="false" ht="15" hidden="false" customHeight="false" outlineLevel="0" collapsed="false">
      <c r="A4" s="38"/>
    </row>
    <row r="5" customFormat="false" ht="15" hidden="false" customHeight="false" outlineLevel="0" collapsed="false">
      <c r="A5" s="39" t="s">
        <v>93</v>
      </c>
    </row>
    <row r="6" customFormat="false" ht="15" hidden="false" customHeight="false" outlineLevel="0" collapsed="false">
      <c r="A6" s="38" t="s">
        <v>94</v>
      </c>
    </row>
    <row r="7" customFormat="false" ht="15" hidden="false" customHeight="false" outlineLevel="0" collapsed="false">
      <c r="A7" s="38" t="s">
        <v>95</v>
      </c>
    </row>
    <row r="8" customFormat="false" ht="15" hidden="false" customHeight="false" outlineLevel="0" collapsed="false">
      <c r="A8" s="38" t="s">
        <v>96</v>
      </c>
    </row>
    <row r="9" customFormat="false" ht="15" hidden="false" customHeight="false" outlineLevel="0" collapsed="false">
      <c r="A9" s="38" t="s">
        <v>97</v>
      </c>
    </row>
    <row r="10" customFormat="false" ht="15" hidden="false" customHeight="false" outlineLevel="0" collapsed="false">
      <c r="A10" s="38" t="s">
        <v>98</v>
      </c>
    </row>
    <row r="11" customFormat="false" ht="15" hidden="false" customHeight="false" outlineLevel="0" collapsed="false">
      <c r="A11" s="38" t="s">
        <v>99</v>
      </c>
    </row>
    <row r="12" customFormat="false" ht="15" hidden="false" customHeight="false" outlineLevel="0" collapsed="false">
      <c r="A12" s="38" t="s">
        <v>100</v>
      </c>
    </row>
    <row r="13" customFormat="false" ht="15" hidden="false" customHeight="false" outlineLevel="0" collapsed="false">
      <c r="A13" s="38" t="s">
        <v>101</v>
      </c>
    </row>
    <row r="14" customFormat="false" ht="15" hidden="false" customHeight="false" outlineLevel="0" collapsed="false">
      <c r="A14" s="38" t="s">
        <v>102</v>
      </c>
    </row>
    <row r="15" customFormat="false" ht="15" hidden="false" customHeight="false" outlineLevel="0" collapsed="false">
      <c r="A15" s="38" t="s">
        <v>103</v>
      </c>
    </row>
    <row r="16" customFormat="false" ht="15" hidden="false" customHeight="false" outlineLevel="0" collapsed="false">
      <c r="A16" s="38"/>
    </row>
    <row r="17" customFormat="false" ht="15" hidden="false" customHeight="false" outlineLevel="0" collapsed="false">
      <c r="A17" s="39" t="s">
        <v>104</v>
      </c>
    </row>
    <row r="18" customFormat="false" ht="15" hidden="false" customHeight="false" outlineLevel="0" collapsed="false">
      <c r="A18" s="38" t="s">
        <v>105</v>
      </c>
    </row>
    <row r="19" customFormat="false" ht="15" hidden="false" customHeight="false" outlineLevel="0" collapsed="false">
      <c r="A19" s="38" t="s">
        <v>106</v>
      </c>
    </row>
    <row r="20" customFormat="false" ht="15" hidden="false" customHeight="false" outlineLevel="0" collapsed="false">
      <c r="A20" s="38" t="s">
        <v>107</v>
      </c>
    </row>
    <row r="21" customFormat="false" ht="15" hidden="false" customHeight="false" outlineLevel="0" collapsed="false">
      <c r="A21" s="38" t="s">
        <v>108</v>
      </c>
    </row>
    <row r="22" customFormat="false" ht="15" hidden="false" customHeight="false" outlineLevel="0" collapsed="false">
      <c r="A22" s="38"/>
    </row>
    <row r="23" customFormat="false" ht="15" hidden="false" customHeight="false" outlineLevel="0" collapsed="false">
      <c r="A23" s="38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2026-08-10T14:28:12Z</dcterms:created>
  <dc:creator>openpyxl</dc:creator>
  <dc:description/>
  <dc:language>en-US</dc:language>
  <cp:lastModifiedBy/>
  <dcterms:modified xsi:type="dcterms:W3CDTF">2026-08-10T14:28:14Z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