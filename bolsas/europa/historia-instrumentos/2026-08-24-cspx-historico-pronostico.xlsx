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KPI" sheetId="1" state="visible" r:id="rId1"/>
    <sheet name="Rentabilidad anual" sheetId="2" state="visible" r:id="rId2"/>
    <sheet name="Escenarios 6 meses" sheetId="3" state="visible" r:id="rId3"/>
    <sheet name="Fu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1F1F"/>
      <sz val="14"/>
    </font>
    <font>
      <name val="Arial"/>
      <i val="1"/>
      <color rgb="00595959"/>
      <sz val="9"/>
    </font>
    <font>
      <name val="Arial"/>
      <i val="1"/>
      <color rgb="007F7F7F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  <font>
      <name val="Arial"/>
      <b val="1"/>
    </font>
    <font>
      <name val="Arial"/>
      <b val="1"/>
      <color rgb="00FFFFFF"/>
    </font>
    <font>
      <name val="Arial"/>
      <i val="1"/>
    </font>
  </fonts>
  <fills count="7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C0504D"/>
      </patternFill>
    </fill>
    <fill>
      <patternFill patternType="solid">
        <fgColor rgb="00FFFFFF"/>
      </patternFill>
    </fill>
    <fill>
      <patternFill patternType="solid">
        <fgColor rgb="008DB4E2"/>
      </patternFill>
    </fill>
    <fill>
      <patternFill patternType="solid">
        <fgColor rgb="009BBB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49" fontId="5" fillId="0" borderId="1" applyAlignment="1" pivotButton="0" quotePrefix="0" xfId="0">
      <alignment vertical="center" wrapText="1"/>
    </xf>
    <xf numFmtId="10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9" fontId="5" fillId="0" borderId="1" applyAlignment="1" pivotButton="0" quotePrefix="0" xfId="0">
      <alignment vertical="center" wrapText="1"/>
    </xf>
    <xf numFmtId="166" fontId="5" fillId="0" borderId="1" applyAlignment="1" pivotButton="0" quotePrefix="0" xfId="0">
      <alignment vertical="center" wrapText="1"/>
    </xf>
    <xf numFmtId="2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8" fillId="3" borderId="1" pivotButton="0" quotePrefix="0" xfId="0"/>
    <xf numFmtId="9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8" fillId="5" borderId="1" pivotButton="0" quotePrefix="0" xfId="0"/>
    <xf numFmtId="0" fontId="8" fillId="6" borderId="1" pivotButton="0" quotePrefix="0" xfId="0"/>
    <xf numFmtId="0" fontId="4" fillId="2" borderId="0" pivotButton="0" quotePrefix="0" xfId="0"/>
    <xf numFmtId="10" fontId="0" fillId="0" borderId="0" pivotButton="0" quotePrefix="0" xfId="0"/>
    <xf numFmtId="10" fontId="9" fillId="0" borderId="1" applyAlignment="1" pivotButton="0" quotePrefix="0" xfId="0">
      <alignment vertical="center" wrapText="1"/>
    </xf>
    <xf numFmtId="0" fontId="3" fillId="0" borderId="0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CSPX — Rentabilidad anual 2021-2026 (2026: parcial, YTD)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'Rentabilidad anual'!F4</f>
            </strRef>
          </tx>
          <spPr>
            <a:solidFill>
              <a:srgbClr val="EDA100"/>
            </a:solidFill>
            <a:ln>
              <a:prstDash val="solid"/>
            </a:ln>
          </spPr>
          <dLbls>
            <numFmt formatCode="0.0%"/>
            <showVal val="1"/>
          </dLbls>
          <cat>
            <numRef>
              <f>'Rentabilidad anual'!$A$5:$A$10</f>
            </numRef>
          </cat>
          <val>
            <numRef>
              <f>'Rentabilidad anual'!$F$5:$F$10</f>
            </numRef>
          </val>
        </ser>
        <ser>
          <idx val="1"/>
          <order val="1"/>
          <tx>
            <strRef>
              <f>'Rentabilidad anual'!G4</f>
            </strRef>
          </tx>
          <spPr>
            <a:solidFill>
              <a:srgbClr val="F7D27A"/>
            </a:solidFill>
            <a:ln>
              <a:prstDash val="solid"/>
            </a:ln>
          </spPr>
          <dLbls>
            <numFmt formatCode="0.0%"/>
            <showVal val="1"/>
          </dLbls>
          <cat>
            <numRef>
              <f>'Rentabilidad anual'!$A$5:$A$10</f>
            </numRef>
          </cat>
          <val>
            <numRef>
              <f>'Rentabilidad anual'!$G$5:$G$10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Rentabilidad anual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CSPX — Rango de rentabilidad estimada a 6 meses por escenario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'Escenarios 6 meses'!B4</f>
            </strRef>
          </tx>
          <spPr>
            <a:noFill/>
            <a:ln>
              <a:noFill/>
              <a:prstDash val="solid"/>
            </a:ln>
          </spPr>
          <cat>
            <numRef>
              <f>'Escenarios 6 meses'!$A$5:$A$7</f>
            </numRef>
          </cat>
          <val>
            <numRef>
              <f>'Escenarios 6 meses'!$B$5:$B$7</f>
            </numRef>
          </val>
        </ser>
        <ser>
          <idx val="1"/>
          <order val="1"/>
          <tx>
            <strRef>
              <f>'Escenarios 6 meses'!D4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0504D"/>
              </a:solidFill>
              <a:ln>
                <a:prstDash val="solid"/>
              </a:ln>
            </spPr>
          </dPt>
          <dPt>
            <idx val="1"/>
            <spPr>
              <a:solidFill>
                <a:srgbClr val="8DB4E2"/>
              </a:solidFill>
              <a:ln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>
                <a:prstDash val="solid"/>
              </a:ln>
            </spPr>
          </dPt>
          <cat>
            <numRef>
              <f>'Escenarios 6 meses'!$A$5:$A$7</f>
            </numRef>
          </cat>
          <val>
            <numRef>
              <f>'Escenarios 6 meses'!$D$5:$D$7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Rentabilidad estimada (%)</a:t>
                </a:r>
              </a:p>
            </rich>
          </tx>
        </title>
        <numFmt formatCode="0%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44" customWidth="1" min="3" max="3"/>
    <col width="50" customWidth="1" min="4" max="4"/>
  </cols>
  <sheetData>
    <row r="1">
      <c r="A1" s="1" t="inlineStr">
        <is>
          <t>CSPX — iShares Core S&amp;P 500 UCITS ETF (Acc)</t>
        </is>
      </c>
    </row>
    <row r="2">
      <c r="A2" s="2" t="inlineStr">
        <is>
          <t>Resumen de indicadores clave (KPI) — fecha de corte: 2026-08-24</t>
        </is>
      </c>
    </row>
    <row r="3">
      <c r="A3" s="3" t="inlineStr">
        <is>
          <t>Datos tomados de bolsas/europa/historia-instrumentos/2026-08-24-cspx-historico-pronostico.md (ficha completa con metodologia y fuentes agregadas). Material educativo, no es asesoria financiera.</t>
        </is>
      </c>
    </row>
    <row r="5">
      <c r="A5" s="4" t="inlineStr">
        <is>
          <t>Indicador</t>
        </is>
      </c>
      <c r="B5" s="4" t="inlineStr">
        <is>
          <t>Valor</t>
        </is>
      </c>
      <c r="C5" s="4" t="inlineStr">
        <is>
          <t>Fuente</t>
        </is>
      </c>
      <c r="D5" s="4" t="inlineStr">
        <is>
          <t>Fecha</t>
        </is>
      </c>
    </row>
    <row r="6">
      <c r="A6" s="5" t="inlineStr">
        <is>
          <t>Precio actual (CSPX.L, USD)</t>
        </is>
      </c>
      <c r="B6" s="6" t="n">
        <v>828.03</v>
      </c>
      <c r="C6" s="5" t="inlineStr">
        <is>
          <t>Investing.com</t>
        </is>
      </c>
      <c r="D6" s="5" t="inlineStr">
        <is>
          <t>2026-08-21</t>
        </is>
      </c>
    </row>
    <row r="7">
      <c r="A7" s="5" t="inlineStr">
        <is>
          <t>Precio (CSPX.AS, EUR)</t>
        </is>
      </c>
      <c r="B7" s="7" t="inlineStr">
        <is>
          <t>714.75 - 727.57</t>
        </is>
      </c>
      <c r="C7" s="5" t="inlineStr">
        <is>
          <t>Yahoo Finance</t>
        </is>
      </c>
      <c r="D7" s="5" t="inlineStr">
        <is>
          <t>2026-08-10 a 2026-08-21</t>
        </is>
      </c>
    </row>
    <row r="8">
      <c r="A8" s="5" t="inlineStr">
        <is>
          <t>TER (comision total anual)</t>
        </is>
      </c>
      <c r="B8" s="8" t="n">
        <v>0.0007</v>
      </c>
      <c r="C8" s="5" t="inlineStr">
        <is>
          <t>Morningstar / justETF / BlackRock (continuidad)</t>
        </is>
      </c>
      <c r="D8" s="5" t="inlineStr">
        <is>
          <t>2026-07-29</t>
        </is>
      </c>
    </row>
    <row r="9">
      <c r="A9" s="5" t="inlineStr">
        <is>
          <t>Rango 52 semanas (CSPX.L, USD)</t>
        </is>
      </c>
      <c r="B9" s="7" t="inlineStr">
        <is>
          <t>677.35 - 839.74</t>
        </is>
      </c>
      <c r="C9" s="5" t="inlineStr">
        <is>
          <t>Investing.com</t>
        </is>
      </c>
      <c r="D9" s="5" t="inlineStr">
        <is>
          <t>2026-08-12</t>
        </is>
      </c>
    </row>
    <row r="10">
      <c r="A10" s="5" t="inlineStr">
        <is>
          <t>Rentabilidad YTD 2026</t>
        </is>
      </c>
      <c r="B10" s="7" t="inlineStr">
        <is>
          <t>12.83% - 15% (rango, ver nota metodologica)</t>
        </is>
      </c>
      <c r="C10" s="5" t="inlineStr">
        <is>
          <t>PortfoliosLab / calculo propio</t>
        </is>
      </c>
      <c r="D10" s="5" t="inlineStr">
        <is>
          <t>2026-08-21 a 2026-08-24</t>
        </is>
      </c>
    </row>
    <row r="11">
      <c r="A11" s="5" t="inlineStr">
        <is>
          <t>Rentabilidad anualizada 2021-2025 (5 anios)</t>
        </is>
      </c>
      <c r="B11" s="9" t="n">
        <v>0.144</v>
      </c>
      <c r="C11" s="5" t="inlineStr">
        <is>
          <t>Calculo propio (ficha 2026-07-24)</t>
        </is>
      </c>
      <c r="D11" s="5" t="inlineStr">
        <is>
          <t>2026-07-24</t>
        </is>
      </c>
    </row>
    <row r="12">
      <c r="A12" s="5" t="inlineStr">
        <is>
          <t>Concentracion 'Magnificent Seven' en S&amp;P 500</t>
        </is>
      </c>
      <c r="B12" s="10" t="n">
        <v>0.34</v>
      </c>
      <c r="C12" s="5" t="inlineStr">
        <is>
          <t>MacroMicro</t>
        </is>
      </c>
      <c r="D12" s="5" t="inlineStr">
        <is>
          <t>jul-2026</t>
        </is>
      </c>
    </row>
    <row r="13">
      <c r="A13" s="5" t="inlineStr">
        <is>
          <t>EUR/USD</t>
        </is>
      </c>
      <c r="B13" s="11" t="n">
        <v>1.1664</v>
      </c>
      <c r="C13" s="5" t="inlineStr">
        <is>
          <t>Banco Central Europeo (eurofxref)</t>
        </is>
      </c>
      <c r="D13" s="5" t="inlineStr">
        <is>
          <t>2026-08-24</t>
        </is>
      </c>
    </row>
    <row r="14">
      <c r="A14" s="5" t="inlineStr">
        <is>
          <t>GBP/USD</t>
        </is>
      </c>
      <c r="B14" s="12" t="n">
        <v>1.36</v>
      </c>
      <c r="C14" s="5" t="inlineStr">
        <is>
          <t>MTFX</t>
        </is>
      </c>
      <c r="D14" s="5" t="inlineStr">
        <is>
          <t>2026-08-21</t>
        </is>
      </c>
    </row>
    <row r="16">
      <c r="A16" s="13" t="inlineStr">
        <is>
          <t>Escenarios a 6 meses (24-ago-2026 a ~24-feb-2027)</t>
        </is>
      </c>
    </row>
    <row r="17">
      <c r="A17" s="3" t="inlineStr">
        <is>
          <t>Proyeccion educativa del analista, no es un hecho verificado ni una recomendacion de inversion. Ver ficha .md hermana para el detalle completo de supuestos y fuentes.</t>
        </is>
      </c>
    </row>
    <row r="19">
      <c r="A19" s="4" t="inlineStr">
        <is>
          <t>Escenario</t>
        </is>
      </c>
      <c r="B19" s="4" t="inlineStr">
        <is>
          <t>Rentabilidad minima</t>
        </is>
      </c>
      <c r="C19" s="4" t="inlineStr">
        <is>
          <t>Rentabilidad maxima</t>
        </is>
      </c>
      <c r="D19" s="4" t="inlineStr">
        <is>
          <t>Supuestos clave (resumen)</t>
        </is>
      </c>
    </row>
    <row r="20" ht="45" customHeight="1">
      <c r="A20" s="14" t="inlineStr">
        <is>
          <t>Bajista</t>
        </is>
      </c>
      <c r="B20" s="15" t="n">
        <v>-0.15</v>
      </c>
      <c r="C20" s="15" t="n">
        <v>-0.03</v>
      </c>
      <c r="D20" s="16" t="inlineStr">
        <is>
          <t>Escalada del conflicto en Oriente Medio (Estrecho de Ormuz), Fed/BCE/BoE suben tasas, correccion en 'Magnificent Seven', posible ruptura de la tregua arancelaria UE-EE.UU.</t>
        </is>
      </c>
    </row>
    <row r="21" ht="45" customHeight="1">
      <c r="A21" s="17" t="inlineStr">
        <is>
          <t>Base</t>
        </is>
      </c>
      <c r="B21" s="15" t="n">
        <v>0</v>
      </c>
      <c r="C21" s="15" t="n">
        <v>0.07000000000000001</v>
      </c>
      <c r="D21" s="16" t="inlineStr">
        <is>
          <t>Fed mantiene tasas en septiembre (~33% prob. de subida), BCE sube una vez (~70% prob.), BoE mantiene pausa con sesgo restrictivo, tension energetica sin escalar a crisis mayor.</t>
        </is>
      </c>
    </row>
    <row r="22" ht="45" customHeight="1">
      <c r="A22" s="18" t="inlineStr">
        <is>
          <t>Alcista</t>
        </is>
      </c>
      <c r="B22" s="15" t="n">
        <v>0.08</v>
      </c>
      <c r="C22" s="15" t="n">
        <v>0.14</v>
      </c>
      <c r="D22" s="16" t="inlineStr">
        <is>
          <t>Jackson Hole y reunion de la Fed de septiembre confirman sin subidas, estabilizacion en Oriente Medio, resultados solidos de 'Magnificent Seven', tregua arancelaria se mantiene.</t>
        </is>
      </c>
    </row>
  </sheetData>
  <mergeCells count="2">
    <mergeCell ref="A17:D17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5" customWidth="1" min="3" max="3"/>
    <col width="24" customWidth="1" min="4" max="4"/>
  </cols>
  <sheetData>
    <row r="1">
      <c r="A1" s="1" t="inlineStr">
        <is>
          <t>CSPX — Rentabilidad anual (total return en USD, dividendos reinvertidos)</t>
        </is>
      </c>
    </row>
    <row r="2">
      <c r="A2" s="2" t="inlineStr">
        <is>
          <t>2021-2025: anios calendario completos. 2026: parcial (YTD a 21-ago-2026), no es un cierre de anio.</t>
        </is>
      </c>
    </row>
    <row r="4">
      <c r="A4" s="4" t="inlineStr">
        <is>
          <t>Anio</t>
        </is>
      </c>
      <c r="B4" s="4" t="inlineStr">
        <is>
          <t>Rentabilidad anual (%)</t>
        </is>
      </c>
      <c r="C4" s="4" t="inlineStr">
        <is>
          <t>Fuente</t>
        </is>
      </c>
      <c r="D4" s="4" t="inlineStr">
        <is>
          <t>Fecha de consulta</t>
        </is>
      </c>
      <c r="F4" s="19" t="inlineStr">
        <is>
          <t>Anios completos (%)</t>
        </is>
      </c>
      <c r="G4" s="19" t="inlineStr">
        <is>
          <t>2026 parcial (%)</t>
        </is>
      </c>
    </row>
    <row r="5">
      <c r="A5" s="5" t="inlineStr">
        <is>
          <t>2021</t>
        </is>
      </c>
      <c r="B5" s="8" t="n">
        <v>0.2984</v>
      </c>
      <c r="C5" s="5" t="inlineStr">
        <is>
          <t>Ficha previa del repositorio (fuente original: Yahoo Finance/Morningstar)</t>
        </is>
      </c>
      <c r="D5" s="5" t="inlineStr">
        <is>
          <t>2026-07-24</t>
        </is>
      </c>
      <c r="F5" s="20" t="n">
        <v>0.2984</v>
      </c>
    </row>
    <row r="6">
      <c r="A6" s="5" t="inlineStr">
        <is>
          <t>2022</t>
        </is>
      </c>
      <c r="B6" s="8" t="n">
        <v>-0.1932</v>
      </c>
      <c r="C6" s="5" t="inlineStr">
        <is>
          <t>idem</t>
        </is>
      </c>
      <c r="D6" s="5" t="inlineStr">
        <is>
          <t>2026-07-24</t>
        </is>
      </c>
      <c r="F6" s="20" t="n">
        <v>-0.1932</v>
      </c>
    </row>
    <row r="7">
      <c r="A7" s="5" t="inlineStr">
        <is>
          <t>2023</t>
        </is>
      </c>
      <c r="B7" s="8" t="n">
        <v>0.2612</v>
      </c>
      <c r="C7" s="5" t="inlineStr">
        <is>
          <t>idem</t>
        </is>
      </c>
      <c r="D7" s="5" t="inlineStr">
        <is>
          <t>2026-07-24</t>
        </is>
      </c>
      <c r="F7" s="20" t="n">
        <v>0.2612</v>
      </c>
    </row>
    <row r="8">
      <c r="A8" s="5" t="inlineStr">
        <is>
          <t>2024</t>
        </is>
      </c>
      <c r="B8" s="8" t="n">
        <v>0.2573</v>
      </c>
      <c r="C8" s="5" t="inlineStr">
        <is>
          <t>idem</t>
        </is>
      </c>
      <c r="D8" s="5" t="inlineStr">
        <is>
          <t>2026-07-24</t>
        </is>
      </c>
      <c r="F8" s="20" t="n">
        <v>0.2573</v>
      </c>
    </row>
    <row r="9">
      <c r="A9" s="5" t="inlineStr">
        <is>
          <t>2025</t>
        </is>
      </c>
      <c r="B9" s="8" t="n">
        <v>0.1805</v>
      </c>
      <c r="C9" s="5" t="inlineStr">
        <is>
          <t>idem</t>
        </is>
      </c>
      <c r="D9" s="5" t="inlineStr">
        <is>
          <t>2026-07-24</t>
        </is>
      </c>
      <c r="F9" s="20" t="n">
        <v>0.1805</v>
      </c>
    </row>
    <row r="10">
      <c r="A10" s="5" t="inlineStr">
        <is>
          <t>2026 (YTD, parcial)</t>
        </is>
      </c>
      <c r="B10" s="21" t="n">
        <v>0.139</v>
      </c>
      <c r="C10" s="5" t="inlineStr">
        <is>
          <t>PortfoliosLab / calculo propio (punto medio del rango 12.83%-15%)</t>
        </is>
      </c>
      <c r="D10" s="5" t="inlineStr">
        <is>
          <t>2026-08-21 a 2026-08-24</t>
        </is>
      </c>
      <c r="G10" s="20" t="n">
        <v>0.139</v>
      </c>
    </row>
    <row r="12">
      <c r="A12" s="22" t="inlineStr">
        <is>
          <t>Rentabilidad anualizada 2021-2025 (5 anios calendario completos): ~14.4% (calculo propio, ficha 2026-07-24)</t>
        </is>
      </c>
    </row>
    <row r="13">
      <c r="A13" s="3" t="inlineStr">
        <is>
          <t>Nota: 2026 es un anio parcial (YTD a 21-ago-2026), no un cierre de anio completo; se muestra en el grafico con un tono mas claro para diferenciarlo de los anios cerrados.</t>
        </is>
      </c>
    </row>
  </sheetData>
  <mergeCells count="4">
    <mergeCell ref="A1:D1"/>
    <mergeCell ref="A12:D12"/>
    <mergeCell ref="A13:D1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60" customWidth="1" min="5" max="5"/>
  </cols>
  <sheetData>
    <row r="1">
      <c r="A1" s="1" t="inlineStr">
        <is>
          <t>CSPX — Escenarios de rentabilidad a 6 meses (24-ago-2026 a ~24-feb-2027)</t>
        </is>
      </c>
    </row>
    <row r="2">
      <c r="A2" s="2" t="inlineStr">
        <is>
          <t>Proyeccion educativa del analista, no es un hecho verificado ni una recomendacion de inversion.</t>
        </is>
      </c>
    </row>
    <row r="4">
      <c r="A4" s="4" t="inlineStr">
        <is>
          <t>Escenario</t>
        </is>
      </c>
      <c r="B4" s="4" t="inlineStr">
        <is>
          <t>Minimo</t>
        </is>
      </c>
      <c r="C4" s="4" t="inlineStr">
        <is>
          <t>Maximo</t>
        </is>
      </c>
      <c r="D4" s="4" t="inlineStr">
        <is>
          <t>Rango (para grafico)</t>
        </is>
      </c>
      <c r="E4" s="4" t="inlineStr">
        <is>
          <t>Supuestos clave</t>
        </is>
      </c>
    </row>
    <row r="5" ht="50" customHeight="1">
      <c r="A5" s="14" t="inlineStr">
        <is>
          <t>Bajista</t>
        </is>
      </c>
      <c r="B5" s="23" t="n">
        <v>-0.15</v>
      </c>
      <c r="C5" s="23" t="n">
        <v>-0.03</v>
      </c>
      <c r="D5" s="23" t="n">
        <v>0.12</v>
      </c>
      <c r="E5" s="24" t="inlineStr">
        <is>
          <t>Escalada en Oriente Medio, subidas de tasas Fed/BCE/BoE, correccion en megacaps de IA, riesgo de ruptura de la tregua arancelaria UE-EE.UU.</t>
        </is>
      </c>
    </row>
    <row r="6" ht="50" customHeight="1">
      <c r="A6" s="17" t="inlineStr">
        <is>
          <t>Base</t>
        </is>
      </c>
      <c r="B6" s="23" t="n">
        <v>0</v>
      </c>
      <c r="C6" s="23" t="n">
        <v>0.07000000000000001</v>
      </c>
      <c r="D6" s="23" t="n">
        <v>0.07000000000000001</v>
      </c>
      <c r="E6" s="24" t="inlineStr">
        <is>
          <t>Fed mantiene tasas (~33% prob. subida en sept.), BCE sube una vez (~70% prob.), BoE en pausa con sesgo restrictivo, tension energetica sin escalar.</t>
        </is>
      </c>
    </row>
    <row r="7" ht="50" customHeight="1">
      <c r="A7" s="18" t="inlineStr">
        <is>
          <t>Alcista</t>
        </is>
      </c>
      <c r="B7" s="23" t="n">
        <v>0.08</v>
      </c>
      <c r="C7" s="23" t="n">
        <v>0.14</v>
      </c>
      <c r="D7" s="23" t="n">
        <v>0.06000000000000001</v>
      </c>
      <c r="E7" s="24" t="inlineStr">
        <is>
          <t>Sin subidas de tasas tras Jackson Hole/reunion Fed sept., estabilizacion en Oriente Medio, resultados solidos de 'Magnificent Seven', tregua arancelaria se mantiene.</t>
        </is>
      </c>
    </row>
    <row r="9">
      <c r="A9" s="3" t="inlineStr">
        <is>
          <t>Nota: el grafico muestra el rango minimo-maximo estimado de cada escenario usando una barra flotante (serie 'Minimo' invisible + serie 'Rango' visible apilada).</t>
        </is>
      </c>
    </row>
    <row r="10">
      <c r="A10" s="22" t="inlineStr">
        <is>
          <t>Ver bolsas/europa/historia-instrumentos/2026-08-24-cspx-historico-pronostico.md para el detalle completo de supuestos y fuentes.</t>
        </is>
      </c>
    </row>
  </sheetData>
  <mergeCells count="4">
    <mergeCell ref="A2:E2"/>
    <mergeCell ref="A1:E1"/>
    <mergeCell ref="A9:E9"/>
    <mergeCell ref="A10:E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22" customWidth="1" min="3" max="3"/>
  </cols>
  <sheetData>
    <row r="1">
      <c r="A1" s="1" t="inlineStr">
        <is>
          <t>Fuentes consultadas (resumen)</t>
        </is>
      </c>
    </row>
    <row r="2">
      <c r="A2" s="2" t="inlineStr">
        <is>
          <t>Lista completa con URLs en la ficha .md hermana.</t>
        </is>
      </c>
    </row>
    <row r="4">
      <c r="A4" s="4" t="inlineStr">
        <is>
          <t>Fuente</t>
        </is>
      </c>
      <c r="B4" s="4" t="inlineStr">
        <is>
          <t>Uso</t>
        </is>
      </c>
      <c r="C4" s="4" t="inlineStr">
        <is>
          <t>Fecha de consulta</t>
        </is>
      </c>
    </row>
    <row r="5">
      <c r="A5" s="25" t="inlineStr">
        <is>
          <t>Banco Central Europeo (BCE)</t>
        </is>
      </c>
      <c r="B5" s="26" t="inlineStr">
        <is>
          <t>Tipo de cambio de referencia EUR/USD (eurofxref)</t>
        </is>
      </c>
      <c r="C5" s="25" t="inlineStr">
        <is>
          <t>2026-08-24</t>
        </is>
      </c>
    </row>
    <row r="6">
      <c r="A6" s="25" t="inlineStr">
        <is>
          <t>Bank of England</t>
        </is>
      </c>
      <c r="B6" s="26" t="inlineStr">
        <is>
          <t>Decision de tasas del 30-jul-2026 (Bank Rate 3.75%, voto 6-3)</t>
        </is>
      </c>
      <c r="C6" s="25" t="inlineStr">
        <is>
          <t>2026-08-24</t>
        </is>
      </c>
    </row>
    <row r="7">
      <c r="A7" s="25" t="inlineStr">
        <is>
          <t>Investing.com</t>
        </is>
      </c>
      <c r="B7" s="26" t="inlineStr">
        <is>
          <t>Cotizacion CSPX (LSE), rango 52 semanas</t>
        </is>
      </c>
      <c r="C7" s="25" t="inlineStr">
        <is>
          <t>2026-08-12 a 2026-08-21</t>
        </is>
      </c>
    </row>
    <row r="8">
      <c r="A8" s="25" t="inlineStr">
        <is>
          <t>London Stock Exchange</t>
        </is>
      </c>
      <c r="B8" s="26" t="inlineStr">
        <is>
          <t>Ficha de producto CSPX (discrepancia de rango senalada)</t>
        </is>
      </c>
      <c r="C8" s="25" t="inlineStr">
        <is>
          <t>2026-08-23</t>
        </is>
      </c>
    </row>
    <row r="9">
      <c r="A9" s="25" t="inlineStr">
        <is>
          <t>Yahoo Finance</t>
        </is>
      </c>
      <c r="B9" s="26" t="inlineStr">
        <is>
          <t>Cotizacion CSPX.AS (Amsterdam, EUR)</t>
        </is>
      </c>
      <c r="C9" s="25" t="inlineStr">
        <is>
          <t>2026-08-10 a 2026-08-21</t>
        </is>
      </c>
    </row>
    <row r="10">
      <c r="A10" s="25" t="inlineStr">
        <is>
          <t>PortfoliosLab</t>
        </is>
      </c>
      <c r="B10" s="26" t="inlineStr">
        <is>
          <t>Rentabilidad YTD 2026 de CSPX</t>
        </is>
      </c>
      <c r="C10" s="25" t="inlineStr">
        <is>
          <t>2026-08-24</t>
        </is>
      </c>
    </row>
    <row r="11">
      <c r="A11" s="25" t="inlineStr">
        <is>
          <t>Slickcharts / StatMuse</t>
        </is>
      </c>
      <c r="B11" s="26" t="inlineStr">
        <is>
          <t>Rentabilidad YTD del indice S&amp;P 500</t>
        </is>
      </c>
      <c r="C11" s="25" t="inlineStr">
        <is>
          <t>2026-08-21</t>
        </is>
      </c>
    </row>
    <row r="12">
      <c r="A12" s="25" t="inlineStr">
        <is>
          <t>Bloomberg</t>
        </is>
      </c>
      <c r="B12" s="26" t="inlineStr">
        <is>
          <t>Cobertura de maximos historicos del S&amp;P 500 (ago-2026)</t>
        </is>
      </c>
      <c r="C12" s="25" t="inlineStr">
        <is>
          <t>2026-08-06</t>
        </is>
      </c>
    </row>
    <row r="13">
      <c r="A13" s="25" t="inlineStr">
        <is>
          <t>Al Jazeera / CNBC</t>
        </is>
      </c>
      <c r="B13" s="26" t="inlineStr">
        <is>
          <t>Precios del petroleo y conflicto en Oriente Medio</t>
        </is>
      </c>
      <c r="C13" s="25" t="inlineStr">
        <is>
          <t>2026-08-12 a 2026-08-18</t>
        </is>
      </c>
    </row>
    <row r="14">
      <c r="A14" s="25" t="inlineStr">
        <is>
          <t>MacroMicro</t>
        </is>
      </c>
      <c r="B14" s="26" t="inlineStr">
        <is>
          <t>Concentracion de las 'Magnificent Seven' en el S&amp;P 500</t>
        </is>
      </c>
      <c r="C14" s="25" t="inlineStr">
        <is>
          <t>jul-2026</t>
        </is>
      </c>
    </row>
    <row r="15">
      <c r="A15" s="25" t="inlineStr">
        <is>
          <t>MTFX</t>
        </is>
      </c>
      <c r="B15" s="26" t="inlineStr">
        <is>
          <t>Tipo de cambio GBP/USD</t>
        </is>
      </c>
      <c r="C15" s="25" t="inlineStr">
        <is>
          <t>2026-08-21</t>
        </is>
      </c>
    </row>
    <row r="16">
      <c r="A16" s="25" t="inlineStr">
        <is>
          <t>Fichas previas del repositorio (2026-07-24 y 2026-07-29)</t>
        </is>
      </c>
      <c r="B16" s="26" t="inlineStr">
        <is>
          <t>Continuidad de datos ya verificados (TER, replica, domicilio, rentabilidades 2021-2025)</t>
        </is>
      </c>
      <c r="C16" s="25" t="inlineStr">
        <is>
          <t>2026-07-24 / 2026-07-29</t>
        </is>
      </c>
    </row>
    <row r="18">
      <c r="A18" s="3" t="inlineStr">
        <is>
          <t>Este documento es material educativo de analisis financiero personal, no constituye asesoria financiera profesional. No se gestionan fondos de terceros. Ver informe completo (con explicaciones, metodologia y todas las fuentes con URL) en bolsas/europa/historia-instrumentos/2026-08-24-cspx-historico-pronostico.md</t>
        </is>
      </c>
    </row>
  </sheetData>
  <mergeCells count="1"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2026-08-24T14:11:18Z</dcterms:created>
  <dcterms:modified xsi:type="dcterms:W3CDTF">2026-08-24T14:11:18Z</dcterms:modified>
</cp:coreProperties>
</file>