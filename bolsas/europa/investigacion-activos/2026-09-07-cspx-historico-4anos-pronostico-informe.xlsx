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istorico_Anual" sheetId="2" state="visible" r:id="rId4"/>
    <sheet name="Pronostico_6M" sheetId="3" state="visible" r:id="rId5"/>
    <sheet name="Fue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<sst xmlns="http://schemas.openxmlformats.org/spreadsheetml/2006/main" count="105" uniqueCount="93">
  <si>
    <t xml:space="preserve">CSPX — iShares Core S&amp;P 500 UCITS ETF (Acc)</t>
  </si>
  <si>
    <t xml:space="preserve">Histórico 4 años (2022–2026 YTD) y pronóstico ilustrativo a 6 meses · Fecha de corte: 2026-09-04 a 2026-09-07</t>
  </si>
  <si>
    <t xml:space="preserve">Fuente completa y metodología: bolsas/europa/investigacion-activos/2026-09-07-cspx-historico-4anos-pronostico.md. El pronóstico es una proyección educativa del analista, no una predicción garantizada ni asesoría financiera.</t>
  </si>
  <si>
    <t xml:space="preserve">KPI</t>
  </si>
  <si>
    <t xml:space="preserve">Valor</t>
  </si>
  <si>
    <t xml:space="preserve">Fuente</t>
  </si>
  <si>
    <t xml:space="preserve">Fecha</t>
  </si>
  <si>
    <t xml:space="preserve">Precio de cotización (línea CSPX, LSE, USD)</t>
  </si>
  <si>
    <t xml:space="preserve">835.96 USD (cierre)</t>
  </si>
  <si>
    <t xml:space="preserve">stockanalysis.com (vía agregador)</t>
  </si>
  <si>
    <t xml:space="preserve">2026-09-04</t>
  </si>
  <si>
    <t xml:space="preserve">NAV del fondo (USD)</t>
  </si>
  <si>
    <t xml:space="preserve">Cbonds (agregando datos de BlackRock/iShares)</t>
  </si>
  <si>
    <t xml:space="preserve">Rentabilidad YTD 2026 (cálculo propio)</t>
  </si>
  <si>
    <t xml:space="preserve">Cálculo propio sobre NAV de Cbonds (26-ago y 04-sep)</t>
  </si>
  <si>
    <t xml:space="preserve">Rentabilidad YTD 2026 (cifra alternativa, no verificada)</t>
  </si>
  <si>
    <t xml:space="preserve">Agregador vía WebSearch — dato no verificado con precisión</t>
  </si>
  <si>
    <t xml:space="preserve">~2026-09-03/04</t>
  </si>
  <si>
    <t xml:space="preserve">Rango 52 semanas (USD)</t>
  </si>
  <si>
    <t xml:space="preserve">684.30 – 842.27</t>
  </si>
  <si>
    <t xml:space="preserve">stockanalysis.com</t>
  </si>
  <si>
    <t xml:space="preserve">AUM (Cbonds)</t>
  </si>
  <si>
    <t xml:space="preserve">~154,580 M USD</t>
  </si>
  <si>
    <t xml:space="preserve">Cbonds</t>
  </si>
  <si>
    <t xml:space="preserve">AUM (agregador alternativo — discrepancia señalada)</t>
  </si>
  <si>
    <t xml:space="preserve">~159,910 M USD</t>
  </si>
  <si>
    <t xml:space="preserve">Agregador alternativo</t>
  </si>
  <si>
    <t xml:space="preserve">TER (comisión anual)</t>
  </si>
  <si>
    <t xml:space="preserve">Cbonds / justETF / BlackRock factsheet</t>
  </si>
  <si>
    <t xml:space="preserve">Método de réplica</t>
  </si>
  <si>
    <t xml:space="preserve">Física, completa</t>
  </si>
  <si>
    <t xml:space="preserve">justETF</t>
  </si>
  <si>
    <t xml:space="preserve">2026-07</t>
  </si>
  <si>
    <t xml:space="preserve">Divisa base del fondo</t>
  </si>
  <si>
    <t xml:space="preserve">USD</t>
  </si>
  <si>
    <t xml:space="preserve">justETF / BlackRock</t>
  </si>
  <si>
    <t xml:space="preserve">Tipo de reparto</t>
  </si>
  <si>
    <t xml:space="preserve">Acumulación (Acc)</t>
  </si>
  <si>
    <t xml:space="preserve">ISIN</t>
  </si>
  <si>
    <t xml:space="preserve">IE00B5BMR087</t>
  </si>
  <si>
    <t xml:space="preserve">EUR/USD (fuente sustituta — BCE bloqueado por red)</t>
  </si>
  <si>
    <t xml:space="preserve">TradingEconomics</t>
  </si>
  <si>
    <t xml:space="preserve">2026-09-07</t>
  </si>
  <si>
    <t xml:space="preserve">Tasa de referencia Fed (vigente, sin cambios desde dic-2025)</t>
  </si>
  <si>
    <t xml:space="preserve">3.50%-3.75%</t>
  </si>
  <si>
    <t xml:space="preserve">Congress.gov CRS / Forbes Advisor (fichas previas)</t>
  </si>
  <si>
    <t xml:space="preserve">vigente a 2026-09-07</t>
  </si>
  <si>
    <t xml:space="preserve">Tasa de depósito BCE (vigente; decisión pendiente 10-sep-2026)</t>
  </si>
  <si>
    <t xml:space="preserve">2.25%</t>
  </si>
  <si>
    <t xml:space="preserve">BCE, comunicado 2026-07-23 (ficha previa)</t>
  </si>
  <si>
    <t xml:space="preserve">Histórico anual CSPX — rentabilidad y crecimiento acumulado (2022–2026)</t>
  </si>
  <si>
    <t xml:space="preserve">Rentabilidad anual: dato de fuente (total return USD, clase Acc). Índice acumulado y precio/NAV: fórmulas derivadas de la rentabilidad anual, base 100 en el cierre de 2021. Ver ficha .md para fuentes exactas de cada rentabilidad anual.</t>
  </si>
  <si>
    <t xml:space="preserve">Año</t>
  </si>
  <si>
    <t xml:space="preserve">Rentabilidad anual (%)</t>
  </si>
  <si>
    <t xml:space="preserve">Índice acumulado (base 100 = 2021)</t>
  </si>
  <si>
    <t xml:space="preserve">Precio/NAV aprox. calculado (USD)</t>
  </si>
  <si>
    <t xml:space="preserve">Máximo índice S&amp;P 500 (ref.)</t>
  </si>
  <si>
    <t xml:space="preserve">Mínimo índice S&amp;P 500 (ref.)</t>
  </si>
  <si>
    <t xml:space="preserve">2021 (base)</t>
  </si>
  <si>
    <t xml:space="preserve">2022</t>
  </si>
  <si>
    <t xml:space="preserve">2023</t>
  </si>
  <si>
    <t xml:space="preserve">2024</t>
  </si>
  <si>
    <t xml:space="preserve">no verificado</t>
  </si>
  <si>
    <t xml:space="preserve">2025</t>
  </si>
  <si>
    <t xml:space="preserve">2026 (YTD, al 04-sep)</t>
  </si>
  <si>
    <t xml:space="preserve">Precio/NAV de 2021 (476 USD) es el valor calculado retroactivamente en la ficha previa de este repositorio (2026-07-24) y se usa aquí como ancla base=100; el precio/NAV calculado de 2026 (~816 USD) es una proyección propia a partir de esa ancla y difiere ligeramente del NAV/precio realmente observado el 2026-09-04 (832.12-835.96 USD), lo cual es normal dado que el cálculo es retroactivo y no un cierre de bolsa verificado. Máximos/mínimos de 2024 y años marcados 'no verificado' no se pudieron confirmar con precisión en las fuentes de confianza consultadas. 2026 (YTD) es un año parcial (dato al 2026-09-04), no comparable con años completos.</t>
  </si>
  <si>
    <t xml:space="preserve">Pronóstico a 6 meses (2026-09-07 → ~2027-03-07) — escenarios</t>
  </si>
  <si>
    <t xml:space="preserve">PROYECCIÓN EDUCATIVA DEL ANALISTA, NO UN HECHO NI ASESORÍA FINANCIERA. Rango en USD, sin efecto de divisa. Condicionado a dos catalizadores aún no resueltos a la fecha de corte: Fed (16-sep-2026) y BCE (10-sep-2026). Supuestos y catalizadores completos en la ficha .md.</t>
  </si>
  <si>
    <t xml:space="preserve">Escenario</t>
  </si>
  <si>
    <t xml:space="preserve">Mínimo (%)</t>
  </si>
  <si>
    <t xml:space="preserve">Máximo (%)</t>
  </si>
  <si>
    <t xml:space="preserve">Punto medio (%)</t>
  </si>
  <si>
    <t xml:space="preserve">Supuesto clave</t>
  </si>
  <si>
    <t xml:space="preserve">Alcista</t>
  </si>
  <si>
    <t xml:space="preserve">Fed sin cambios el 16-sep (informe de empleo resulta aislado, IPC del 11-sep confirma desinflación); BCE sube 25pb el 10-sep pero ancla expectativas; tregua en Ucrania avanza y conflicto EEUU-Irán se desescala, petróleo retrocede desde ~97 USD/b; capex de IA sigue sorprendiendo al alza.</t>
  </si>
  <si>
    <t xml:space="preserve">Base</t>
  </si>
  <si>
    <t xml:space="preserve">Fed sube 25pb el 16-sep (resultado muy ajustado) como respuesta puntual, no inicio de ciclo; BCE sube 25pb como espera el consenso; tensión en Ormuz continúa intermitente, petróleo en rango 90-100 USD/b; mercado sigue subiendo con resultados corporativos del Q3 2026.</t>
  </si>
  <si>
    <t xml:space="preserve">Bajista</t>
  </si>
  <si>
    <t xml:space="preserve">Fed sube tasas y señala subidas adicionales (dot plot hawkish) tras IPC de agosto al alza; bloqueo más severo de Ormuz dispara petróleo por encima de 110-120 USD/b; BCE también endurece; corrección concentrada en las 'Siete Magníficas'; tregua en Ucrania se rompe.</t>
  </si>
  <si>
    <t xml:space="preserve">Fuentes consultadas</t>
  </si>
  <si>
    <t xml:space="preserve">Ficha completa con URLs y notas de transparencia: bolsas/europa/investigacion-activos/2026-09-07-cspx-historico-4anos-pronostico.md</t>
  </si>
  <si>
    <t xml:space="preserve">Cbonds — ficha de producto CSPX, IE00B5BMR087 — cbonds.com/etf/863/ — dato 2026-09-04, consultado 2026-09-07</t>
  </si>
  <si>
    <t xml:space="preserve">stockanalysis.com — cotización y rango 52 semanas (línea LSE) — dato 2026-09-04, consultado 2026-09-07</t>
  </si>
  <si>
    <t xml:space="preserve">Eurostat — estimación preliminar de inflación de la eurozona, agosto de 2026 — ec.europa.eu/eurostat — consultado 2026-09-07</t>
  </si>
  <si>
    <t xml:space="preserve">Investing.com España / FXStreet (vía encuesta de Reuters) — expectativas de subida de tasas del BCE — consultado 2026-09-07</t>
  </si>
  <si>
    <t xml:space="preserve">TradingEconomics — tipo de cambio EUR/USD, 2026-09-07 (fuente sustituta; portal del BCE bloqueado por red durante la consulta)</t>
  </si>
  <si>
    <t xml:space="preserve">TheStreet / CNBC / Yahoo Finance / Axios — informe de empleo de EE.UU. de agosto de 2026 y su impacto en el mercado, 3-4-sep-2026</t>
  </si>
  <si>
    <t xml:space="preserve">CNBC — cobertura de las probabilidades de la reunión de la Fed del 16-sep-2026 tras Jackson Hole (28 y 31-ago-2026)</t>
  </si>
  <si>
    <t xml:space="preserve">Infobae — conflicto EE.UU.-Irán, precios del petróleo y tráfico marítimo en el estrecho de Ormuz, 3 y 7-sep-2026</t>
  </si>
  <si>
    <t xml:space="preserve">ChartRow / Slickcharts (agregadores) — rentabilidad YTD del índice S&amp;P 500 — dato 2026-09-04</t>
  </si>
  <si>
    <t xml:space="preserve">CNBC / Congress.gov (CRS) — historial de la disputa arancelaria UE-EE.UU. por Groenlandia (enero-marzo de 2026)</t>
  </si>
  <si>
    <t xml:space="preserve">BioBioChile / El Comercio Perú / Cibercuba — tregua puntual en la guerra de Ucrania, 5-sep-2026 (fuentes no oficiales del sub-agente, citadas con salvedad explícita)</t>
  </si>
  <si>
    <t xml:space="preserve">Fichas previas de este repositorio: 2026-07-24-cspx-ishares-sp500-analisis.md y 2026-08-30-cspx-actualizacion.md (línea base histórico 2022-2025 y NAV de referencia)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</si>
</sst>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%"/>
    <numFmt numFmtId="167" formatCode="0.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A1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3A9CE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EDA100"/>
      <rgbColor rgb="FFFF6600"/>
      <rgbColor rgb="FF777777"/>
      <rgbColor rgb="FF969696"/>
      <rgbColor rgb="FF003366"/>
      <rgbColor rgb="FF4672A8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CSPX — Rentabilidad anual e índice acumulado (2021–2026 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Historico_Anual!C4</c:f>
              <c:strCache>
                <c:ptCount val="1"/>
                <c:pt idx="0">
                  <c:v>Índice acumulado (base 100 = 2021)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Historico_Anual!$A$5:$A$10</c:f>
              <c:strCache>
                <c:ptCount val="6"/>
                <c:pt idx="0">
                  <c:v>2021 (base)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 (YTD, al 04-sep)</c:v>
                </c:pt>
              </c:strCache>
            </c:strRef>
          </c:cat>
          <c:val>
            <c:numRef>
              <c:f>Historico_Anual!$C$5:$C$10</c:f>
              <c:numCache>
                <c:formatCode>General</c:formatCode>
                <c:ptCount val="6"/>
                <c:pt idx="0">
                  <c:v>100</c:v>
                </c:pt>
                <c:pt idx="1">
                  <c:v>80.68</c:v>
                </c:pt>
                <c:pt idx="2">
                  <c:v>101.753616</c:v>
                </c:pt>
                <c:pt idx="3">
                  <c:v>127.9348213968</c:v>
                </c:pt>
                <c:pt idx="4">
                  <c:v>151.027056658922</c:v>
                </c:pt>
                <c:pt idx="5">
                  <c:v>171.370401190879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463064"/>
        <c:axId val="94772564"/>
      </c:lineChart>
      <c:catAx>
        <c:axId val="72463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72564"/>
        <c:crosses val="autoZero"/>
        <c:auto val="1"/>
        <c:lblAlgn val="ctr"/>
        <c:lblOffset val="100"/>
        <c:noMultiLvlLbl val="0"/>
      </c:catAx>
      <c:valAx>
        <c:axId val="94772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acumulado (base 100 = 2021)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630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CSPX — Rentabilidad anual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Historico_Anual!B4</c:f>
              <c:strCache>
                <c:ptCount val="1"/>
                <c:pt idx="0">
                  <c:v>Rentabilidad anual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Historico_Anual!$A$6:$A$10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 (YTD, al 04-sep)</c:v>
                </c:pt>
              </c:strCache>
            </c:strRef>
          </c:cat>
          <c:val>
            <c:numRef>
              <c:f>Historico_Anual!$B$5:$B$10</c:f>
              <c:numCache>
                <c:formatCode>0.00%</c:formatCode>
                <c:ptCount val="6"/>
                <c:pt idx="1">
                  <c:v>-0.1932</c:v>
                </c:pt>
                <c:pt idx="2">
                  <c:v>0.2612</c:v>
                </c:pt>
                <c:pt idx="3">
                  <c:v>0.2573</c:v>
                </c:pt>
                <c:pt idx="4">
                  <c:v>0.1805</c:v>
                </c:pt>
                <c:pt idx="5">
                  <c:v>0.1347</c:v>
                </c:pt>
              </c:numCache>
            </c:numRef>
          </c:val>
        </c:ser>
        <c:gapWidth val="150"/>
        <c:overlap val="0"/>
        <c:axId val="77464400"/>
        <c:axId val="58949159"/>
      </c:barChart>
      <c:catAx>
        <c:axId val="77464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49159"/>
        <c:crosses val="autoZero"/>
        <c:auto val="1"/>
        <c:lblAlgn val="ctr"/>
        <c:lblOffset val="100"/>
        <c:noMultiLvlLbl val="0"/>
      </c:catAx>
      <c:valAx>
        <c:axId val="58949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anual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64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Rango de rentabilidad estimada a 6 meses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Pronostico_6M!B4</c:f>
              <c:strCache>
                <c:ptCount val="1"/>
                <c:pt idx="0">
                  <c:v>Mínimo (%)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Pronostico_6M!$A$5:$A$7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Pronostico_6M!$B$5:$B$7</c:f>
              <c:numCache>
                <c:formatCode>0.0%</c:formatCode>
                <c:ptCount val="3"/>
                <c:pt idx="0">
                  <c:v>0.06</c:v>
                </c:pt>
                <c:pt idx="1">
                  <c:v>-0.02</c:v>
                </c:pt>
                <c:pt idx="2">
                  <c:v>-0.18</c:v>
                </c:pt>
              </c:numCache>
            </c:numRef>
          </c:val>
        </c:ser>
        <c:ser>
          <c:idx val="1"/>
          <c:order val="1"/>
          <c:tx>
            <c:strRef>
              <c:f>Pronostico_6M!C4</c:f>
              <c:strCache>
                <c:ptCount val="1"/>
                <c:pt idx="0">
                  <c:v>Máximo (%)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Pronostico_6M!$A$5:$A$7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Pronostico_6M!$C$5:$C$7</c:f>
              <c:numCache>
                <c:formatCode>0.0%</c:formatCode>
                <c:ptCount val="3"/>
                <c:pt idx="0">
                  <c:v>0.12</c:v>
                </c:pt>
                <c:pt idx="1">
                  <c:v>0.06</c:v>
                </c:pt>
                <c:pt idx="2">
                  <c:v>-0.06</c:v>
                </c:pt>
              </c:numCache>
            </c:numRef>
          </c:val>
        </c:ser>
        <c:gapWidth val="150"/>
        <c:overlap val="0"/>
        <c:axId val="48947081"/>
        <c:axId val="22555872"/>
      </c:barChart>
      <c:catAx>
        <c:axId val="48947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5872"/>
        <c:crosses val="autoZero"/>
        <c:auto val="1"/>
        <c:lblAlgn val="ctr"/>
        <c:lblOffset val="100"/>
        <c:noMultiLvlLbl val="0"/>
      </c:catAx>
      <c:valAx>
        <c:axId val="22555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estimada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47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370440</xdr:colOff>
      <xdr:row>19</xdr:row>
      <xdr:rowOff>95040</xdr:rowOff>
    </xdr:to>
    <xdr:graphicFrame>
      <xdr:nvGraphicFramePr>
        <xdr:cNvPr id="0" name="Chart 1"/>
        <xdr:cNvGraphicFramePr/>
      </xdr:nvGraphicFramePr>
      <xdr:xfrm>
        <a:off x="12138120" y="762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48240</xdr:rowOff>
    </xdr:from>
    <xdr:to>
      <xdr:col>16</xdr:col>
      <xdr:colOff>370440</xdr:colOff>
      <xdr:row>41</xdr:row>
      <xdr:rowOff>28440</xdr:rowOff>
    </xdr:to>
    <xdr:graphicFrame>
      <xdr:nvGraphicFramePr>
        <xdr:cNvPr id="1" name="Chart 2"/>
        <xdr:cNvGraphicFramePr/>
      </xdr:nvGraphicFramePr>
      <xdr:xfrm>
        <a:off x="12138120" y="48862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160560</xdr:rowOff>
    </xdr:from>
    <xdr:to>
      <xdr:col>4</xdr:col>
      <xdr:colOff>2399040</xdr:colOff>
      <xdr:row>27</xdr:row>
      <xdr:rowOff>140760</xdr:rowOff>
    </xdr:to>
    <xdr:graphicFrame>
      <xdr:nvGraphicFramePr>
        <xdr:cNvPr id="2" name="Chart 1"/>
        <xdr:cNvGraphicFramePr/>
      </xdr:nvGraphicFramePr>
      <xdr:xfrm>
        <a:off x="0" y="37432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8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</row>
    <row r="7" customFormat="false" ht="15" hidden="false" customHeight="false" outlineLevel="0" collapsed="false">
      <c r="A7" s="5" t="s">
        <v>11</v>
      </c>
      <c r="B7" s="6" t="n">
        <v>832.1152</v>
      </c>
      <c r="C7" s="5" t="s">
        <v>12</v>
      </c>
      <c r="D7" s="5" t="s">
        <v>10</v>
      </c>
    </row>
    <row r="8" customFormat="false" ht="15" hidden="false" customHeight="false" outlineLevel="0" collapsed="false">
      <c r="A8" s="5" t="s">
        <v>13</v>
      </c>
      <c r="B8" s="7" t="n">
        <v>0.1347</v>
      </c>
      <c r="C8" s="5" t="s">
        <v>14</v>
      </c>
      <c r="D8" s="5" t="s">
        <v>10</v>
      </c>
    </row>
    <row r="9" customFormat="false" ht="15" hidden="false" customHeight="false" outlineLevel="0" collapsed="false">
      <c r="A9" s="5" t="s">
        <v>15</v>
      </c>
      <c r="B9" s="7" t="n">
        <v>0.1389</v>
      </c>
      <c r="C9" s="5" t="s">
        <v>16</v>
      </c>
      <c r="D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  <c r="D10" s="5" t="s">
        <v>10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  <c r="D11" s="5" t="s">
        <v>10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5" t="s">
        <v>26</v>
      </c>
      <c r="D12" s="5" t="s">
        <v>10</v>
      </c>
    </row>
    <row r="13" customFormat="false" ht="15" hidden="false" customHeight="false" outlineLevel="0" collapsed="false">
      <c r="A13" s="5" t="s">
        <v>27</v>
      </c>
      <c r="B13" s="7" t="n">
        <v>0.0007</v>
      </c>
      <c r="C13" s="5" t="s">
        <v>28</v>
      </c>
      <c r="D13" s="5" t="s">
        <v>10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5" t="s">
        <v>31</v>
      </c>
      <c r="D14" s="5" t="s">
        <v>32</v>
      </c>
    </row>
    <row r="15" customFormat="false" ht="15" hidden="false" customHeight="false" outlineLevel="0" collapsed="false">
      <c r="A15" s="5" t="s">
        <v>33</v>
      </c>
      <c r="B15" s="5" t="s">
        <v>34</v>
      </c>
      <c r="C15" s="5" t="s">
        <v>35</v>
      </c>
      <c r="D15" s="5" t="s">
        <v>32</v>
      </c>
    </row>
    <row r="16" customFormat="false" ht="15" hidden="false" customHeight="false" outlineLevel="0" collapsed="false">
      <c r="A16" s="5" t="s">
        <v>36</v>
      </c>
      <c r="B16" s="5" t="s">
        <v>37</v>
      </c>
      <c r="C16" s="5" t="s">
        <v>35</v>
      </c>
      <c r="D16" s="5" t="s">
        <v>32</v>
      </c>
    </row>
    <row r="17" customFormat="false" ht="15" hidden="false" customHeight="false" outlineLevel="0" collapsed="false">
      <c r="A17" s="5" t="s">
        <v>38</v>
      </c>
      <c r="B17" s="5" t="s">
        <v>39</v>
      </c>
      <c r="C17" s="5" t="s">
        <v>35</v>
      </c>
      <c r="D17" s="5" t="s">
        <v>32</v>
      </c>
    </row>
    <row r="18" customFormat="false" ht="15" hidden="false" customHeight="false" outlineLevel="0" collapsed="false">
      <c r="A18" s="5" t="s">
        <v>40</v>
      </c>
      <c r="B18" s="6" t="n">
        <v>1.162</v>
      </c>
      <c r="C18" s="5" t="s">
        <v>41</v>
      </c>
      <c r="D18" s="5" t="s">
        <v>42</v>
      </c>
    </row>
    <row r="19" customFormat="false" ht="15" hidden="false" customHeight="false" outlineLevel="0" collapsed="false">
      <c r="A19" s="5" t="s">
        <v>43</v>
      </c>
      <c r="B19" s="5" t="s">
        <v>44</v>
      </c>
      <c r="C19" s="5" t="s">
        <v>45</v>
      </c>
      <c r="D19" s="5" t="s">
        <v>46</v>
      </c>
    </row>
    <row r="20" customFormat="false" ht="15" hidden="false" customHeight="false" outlineLevel="0" collapsed="false">
      <c r="A20" s="5" t="s">
        <v>47</v>
      </c>
      <c r="B20" s="5" t="s">
        <v>48</v>
      </c>
      <c r="C20" s="5" t="s">
        <v>49</v>
      </c>
      <c r="D20" s="5" t="s">
        <v>46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50</v>
      </c>
    </row>
    <row r="2" customFormat="false" ht="30" hidden="false" customHeight="true" outlineLevel="0" collapsed="false">
      <c r="A2" s="3" t="s">
        <v>51</v>
      </c>
      <c r="B2" s="3"/>
      <c r="C2" s="3"/>
      <c r="D2" s="3"/>
      <c r="E2" s="3"/>
      <c r="F2" s="3"/>
    </row>
    <row r="4" customFormat="false" ht="23.8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8" t="s">
        <v>57</v>
      </c>
    </row>
    <row r="5" customFormat="false" ht="15" hidden="false" customHeight="false" outlineLevel="0" collapsed="false">
      <c r="A5" s="5" t="s">
        <v>58</v>
      </c>
      <c r="C5" s="5" t="n">
        <v>100</v>
      </c>
      <c r="D5" s="5" t="n">
        <v>476</v>
      </c>
      <c r="E5" s="5" t="n">
        <v>4793.06</v>
      </c>
      <c r="F5" s="5" t="n">
        <v>3700.65</v>
      </c>
    </row>
    <row r="6" customFormat="false" ht="15" hidden="false" customHeight="false" outlineLevel="0" collapsed="false">
      <c r="A6" s="5" t="s">
        <v>59</v>
      </c>
      <c r="B6" s="7" t="n">
        <v>-0.1932</v>
      </c>
      <c r="C6" s="5" t="n">
        <f aca="false">C5*(1+B6)</f>
        <v>80.68</v>
      </c>
      <c r="D6" s="9" t="n">
        <f aca="false">C6/100*476</f>
        <v>384.0368</v>
      </c>
      <c r="E6" s="5" t="n">
        <v>4796.56</v>
      </c>
      <c r="F6" s="5" t="n">
        <v>3577.03</v>
      </c>
    </row>
    <row r="7" customFormat="false" ht="15" hidden="false" customHeight="false" outlineLevel="0" collapsed="false">
      <c r="A7" s="5" t="s">
        <v>60</v>
      </c>
      <c r="B7" s="7" t="n">
        <v>0.2612</v>
      </c>
      <c r="C7" s="5" t="n">
        <f aca="false">C6*(1+B7)</f>
        <v>101.753616</v>
      </c>
      <c r="D7" s="9" t="n">
        <f aca="false">C7/100*476</f>
        <v>484.34721216</v>
      </c>
      <c r="E7" s="5" t="n">
        <v>4588.96</v>
      </c>
      <c r="F7" s="5" t="n">
        <v>3808.1</v>
      </c>
    </row>
    <row r="8" customFormat="false" ht="15" hidden="false" customHeight="false" outlineLevel="0" collapsed="false">
      <c r="A8" s="5" t="s">
        <v>61</v>
      </c>
      <c r="B8" s="7" t="n">
        <v>0.2573</v>
      </c>
      <c r="C8" s="5" t="n">
        <f aca="false">C7*(1+B8)</f>
        <v>127.9348213968</v>
      </c>
      <c r="D8" s="9" t="n">
        <f aca="false">C8/100*476</f>
        <v>608.969749848768</v>
      </c>
      <c r="E8" s="5" t="n">
        <v>5881.63</v>
      </c>
      <c r="F8" s="5" t="s">
        <v>62</v>
      </c>
    </row>
    <row r="9" customFormat="false" ht="15" hidden="false" customHeight="false" outlineLevel="0" collapsed="false">
      <c r="A9" s="5" t="s">
        <v>63</v>
      </c>
      <c r="B9" s="7" t="n">
        <v>0.1805</v>
      </c>
      <c r="C9" s="5" t="n">
        <f aca="false">C8*(1+B9)</f>
        <v>151.027056658922</v>
      </c>
      <c r="D9" s="9" t="n">
        <f aca="false">C9/100*476</f>
        <v>718.88878969647</v>
      </c>
      <c r="E9" s="5" t="n">
        <v>6932.05</v>
      </c>
      <c r="F9" s="5" t="n">
        <v>4835</v>
      </c>
    </row>
    <row r="10" customFormat="false" ht="15" hidden="false" customHeight="false" outlineLevel="0" collapsed="false">
      <c r="A10" s="5" t="s">
        <v>64</v>
      </c>
      <c r="B10" s="7" t="n">
        <v>0.1347</v>
      </c>
      <c r="C10" s="5" t="n">
        <f aca="false">C9*(1+B10)</f>
        <v>171.370401190879</v>
      </c>
      <c r="D10" s="9" t="n">
        <f aca="false">C10/100*476</f>
        <v>815.723109668585</v>
      </c>
      <c r="E10" s="5" t="n">
        <v>7816.7</v>
      </c>
      <c r="F10" s="5" t="n">
        <v>6316.91</v>
      </c>
    </row>
    <row r="12" customFormat="false" ht="39.75" hidden="false" customHeight="true" outlineLevel="0" collapsed="false">
      <c r="A12" s="10" t="s">
        <v>65</v>
      </c>
      <c r="B12" s="10"/>
      <c r="C12" s="10"/>
      <c r="D12" s="10"/>
      <c r="E12" s="10"/>
      <c r="F12" s="10"/>
    </row>
  </sheetData>
  <mergeCells count="2"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66</v>
      </c>
    </row>
    <row r="2" customFormat="false" ht="39.75" hidden="false" customHeight="true" outlineLevel="0" collapsed="false">
      <c r="A2" s="3" t="s">
        <v>67</v>
      </c>
      <c r="B2" s="3"/>
      <c r="C2" s="3"/>
      <c r="D2" s="3"/>
      <c r="E2" s="3"/>
    </row>
    <row r="4" customFormat="false" ht="15" hidden="false" customHeight="false" outlineLevel="0" collapsed="false">
      <c r="A4" s="4" t="s">
        <v>68</v>
      </c>
      <c r="B4" s="4" t="s">
        <v>69</v>
      </c>
      <c r="C4" s="4" t="s">
        <v>70</v>
      </c>
      <c r="D4" s="4" t="s">
        <v>71</v>
      </c>
      <c r="E4" s="4" t="s">
        <v>72</v>
      </c>
    </row>
    <row r="5" customFormat="false" ht="60" hidden="false" customHeight="true" outlineLevel="0" collapsed="false">
      <c r="A5" s="5" t="s">
        <v>73</v>
      </c>
      <c r="B5" s="11" t="n">
        <v>0.06</v>
      </c>
      <c r="C5" s="11" t="n">
        <v>0.12</v>
      </c>
      <c r="D5" s="11" t="n">
        <f aca="false">AVERAGE(B5:C5)</f>
        <v>0.09</v>
      </c>
      <c r="E5" s="12" t="s">
        <v>74</v>
      </c>
    </row>
    <row r="6" customFormat="false" ht="60" hidden="false" customHeight="true" outlineLevel="0" collapsed="false">
      <c r="A6" s="5" t="s">
        <v>75</v>
      </c>
      <c r="B6" s="11" t="n">
        <v>-0.02</v>
      </c>
      <c r="C6" s="11" t="n">
        <v>0.06</v>
      </c>
      <c r="D6" s="11" t="n">
        <f aca="false">AVERAGE(B6:C6)</f>
        <v>0.02</v>
      </c>
      <c r="E6" s="12" t="s">
        <v>76</v>
      </c>
    </row>
    <row r="7" customFormat="false" ht="60" hidden="false" customHeight="true" outlineLevel="0" collapsed="false">
      <c r="A7" s="5" t="s">
        <v>77</v>
      </c>
      <c r="B7" s="11" t="n">
        <v>-0.18</v>
      </c>
      <c r="C7" s="11" t="n">
        <v>-0.06</v>
      </c>
      <c r="D7" s="11" t="n">
        <f aca="false">AVERAGE(B7:C7)</f>
        <v>-0.12</v>
      </c>
      <c r="E7" s="12" t="s">
        <v>78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27.75" hidden="false" customHeight="true" outlineLevel="0" collapsed="false">
      <c r="A4" s="12" t="s">
        <v>81</v>
      </c>
    </row>
    <row r="5" customFormat="false" ht="27.75" hidden="false" customHeight="true" outlineLevel="0" collapsed="false">
      <c r="A5" s="12" t="s">
        <v>82</v>
      </c>
    </row>
    <row r="6" customFormat="false" ht="27.75" hidden="false" customHeight="true" outlineLevel="0" collapsed="false">
      <c r="A6" s="12" t="s">
        <v>83</v>
      </c>
    </row>
    <row r="7" customFormat="false" ht="27.75" hidden="false" customHeight="true" outlineLevel="0" collapsed="false">
      <c r="A7" s="12" t="s">
        <v>84</v>
      </c>
    </row>
    <row r="8" customFormat="false" ht="27.75" hidden="false" customHeight="true" outlineLevel="0" collapsed="false">
      <c r="A8" s="12" t="s">
        <v>85</v>
      </c>
    </row>
    <row r="9" customFormat="false" ht="27.75" hidden="false" customHeight="true" outlineLevel="0" collapsed="false">
      <c r="A9" s="12" t="s">
        <v>86</v>
      </c>
    </row>
    <row r="10" customFormat="false" ht="27.75" hidden="false" customHeight="true" outlineLevel="0" collapsed="false">
      <c r="A10" s="12" t="s">
        <v>87</v>
      </c>
    </row>
    <row r="11" customFormat="false" ht="27.75" hidden="false" customHeight="true" outlineLevel="0" collapsed="false">
      <c r="A11" s="12" t="s">
        <v>88</v>
      </c>
    </row>
    <row r="12" customFormat="false" ht="27.75" hidden="false" customHeight="true" outlineLevel="0" collapsed="false">
      <c r="A12" s="12" t="s">
        <v>89</v>
      </c>
    </row>
    <row r="13" customFormat="false" ht="27.75" hidden="false" customHeight="true" outlineLevel="0" collapsed="false">
      <c r="A13" s="12" t="s">
        <v>90</v>
      </c>
    </row>
    <row r="14" customFormat="false" ht="27.75" hidden="false" customHeight="true" outlineLevel="0" collapsed="false">
      <c r="A14" s="12" t="s">
        <v>91</v>
      </c>
    </row>
    <row r="15" customFormat="false" ht="27.75" hidden="false" customHeight="true" outlineLevel="0" collapsed="false">
      <c r="A15" s="1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2026-09-07T14:12:42Z</dcterms:created>
  <dc:creator>openpyxl</dc:creator>
  <dc:description/>
  <dc:language>en-US</dc:language>
  <cp:lastModifiedBy/>
  <dcterms:modified xsi:type="dcterms:W3CDTF">2026-09-07T14:26:59Z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