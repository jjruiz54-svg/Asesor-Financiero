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KPI" sheetId="2" state="visible" r:id="rId2"/>
    <sheet name="Rentabilidad anual" sheetId="3" state="visible" r:id="rId3"/>
    <sheet name="Precio NAV" sheetId="4" state="visible" r:id="rId4"/>
    <sheet name="Escenarios 6m" sheetId="5" state="visible" r:id="rId5"/>
    <sheet name="Fu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 &quot;M USD&quot;"/>
    <numFmt numFmtId="166" formatCode="0.0&quot;x&quot;"/>
    <numFmt numFmtId="167" formatCode="+0.00%;-0.00%"/>
    <numFmt numFmtId="168" formatCode="0.0000"/>
    <numFmt numFmtId="169" formatCode="+0%;-0%"/>
    <numFmt numFmtId="170" formatCode="+0.0%;-0.0%"/>
  </numFmts>
  <fonts count="1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color rgb="000000FF"/>
    </font>
    <font>
      <name val="Arial"/>
      <color rgb="00808080"/>
      <sz val="9"/>
    </font>
    <font>
      <name val="Arial"/>
      <sz val="9"/>
    </font>
    <font>
      <name val="Arial"/>
      <i val="1"/>
      <color rgb="00C00000"/>
      <sz val="10"/>
    </font>
    <font>
      <name val="Arial"/>
      <i val="1"/>
      <color rgb="00808080"/>
      <sz val="9"/>
    </font>
    <font>
      <name val="Arial"/>
      <color rgb="00000000"/>
    </font>
    <font>
      <name val="Arial"/>
      <i val="1"/>
      <sz val="9"/>
    </font>
    <font>
      <name val="Arial"/>
      <b val="1"/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2" borderId="0" applyAlignment="1" pivotButton="0" quotePrefix="0" xfId="0">
      <alignment horizontal="center"/>
    </xf>
    <xf numFmtId="0" fontId="4" fillId="0" borderId="1" pivotButton="0" quotePrefix="0" xfId="0"/>
    <xf numFmtId="164" fontId="8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pivotButton="0" quotePrefix="0" xfId="0"/>
    <xf numFmtId="165" fontId="8" fillId="0" borderId="1" pivotButton="0" quotePrefix="0" xfId="0"/>
    <xf numFmtId="10" fontId="8" fillId="0" borderId="1" pivotButton="0" quotePrefix="0" xfId="0"/>
    <xf numFmtId="166" fontId="8" fillId="0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12" fillId="0" borderId="0" applyAlignment="1" pivotButton="0" quotePrefix="0" xfId="0">
      <alignment wrapText="1"/>
    </xf>
    <xf numFmtId="0" fontId="7" fillId="2" borderId="0" applyAlignment="1" pivotButton="0" quotePrefix="0" xfId="0">
      <alignment horizontal="center" wrapText="1"/>
    </xf>
    <xf numFmtId="167" fontId="8" fillId="0" borderId="1" pivotButton="0" quotePrefix="0" xfId="0"/>
    <xf numFmtId="168" fontId="13" fillId="0" borderId="1" pivotButton="0" quotePrefix="0" xfId="0"/>
    <xf numFmtId="10" fontId="13" fillId="0" borderId="1" pivotButton="0" quotePrefix="0" xfId="0"/>
    <xf numFmtId="0" fontId="2" fillId="0" borderId="0" applyAlignment="1" pivotButton="0" quotePrefix="0" xfId="0">
      <alignment vertical="top" wrapText="1"/>
    </xf>
    <xf numFmtId="164" fontId="13" fillId="0" borderId="1" pivotButton="0" quotePrefix="0" xfId="0"/>
    <xf numFmtId="0" fontId="14" fillId="0" borderId="1" pivotButton="0" quotePrefix="0" xfId="0"/>
    <xf numFmtId="0" fontId="12" fillId="0" borderId="0" pivotButton="0" quotePrefix="0" xfId="0"/>
    <xf numFmtId="0" fontId="15" fillId="0" borderId="0" pivotButton="0" quotePrefix="0" xfId="0"/>
    <xf numFmtId="0" fontId="3" fillId="0" borderId="1" pivotButton="0" quotePrefix="0" xfId="0"/>
    <xf numFmtId="169" fontId="8" fillId="0" borderId="1" pivotButton="0" quotePrefix="0" xfId="0"/>
    <xf numFmtId="170" fontId="13" fillId="0" borderId="1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Rentabilidad anual CSPX (total return,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'Rentabilidad anual'!B4</f>
            </strRef>
          </tx>
          <spPr>
            <a:ln>
              <a:prstDash val="solid"/>
            </a:ln>
          </spPr>
          <cat>
            <numRef>
              <f>'Rentabilidad anual'!$A$5:$A$10</f>
            </numRef>
          </cat>
          <val>
            <numRef>
              <f>'Rentabilidad anual'!$B$5:$B$10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Rentabilidad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Precio / NAV estimado CSPX (USD)</a:t>
            </a:r>
          </a:p>
        </rich>
      </tx>
    </title>
    <plotArea>
      <lineChart>
        <grouping val="standard"/>
        <ser>
          <idx val="0"/>
          <order val="0"/>
          <tx>
            <strRef>
              <f>'Precio NAV'!B4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'Precio NAV'!$A$5:$A$11</f>
            </numRef>
          </cat>
          <val>
            <numRef>
              <f>'Precio NAV'!$B$5:$B$11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Rango de rentabilidad estimado a 6 meses, por escenario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'Escenarios 6m'!B4</f>
            </strRef>
          </tx>
          <spPr>
            <a:ln>
              <a:prstDash val="solid"/>
            </a:ln>
          </spPr>
          <cat>
            <numRef>
              <f>'Escenarios 6m'!$A$5:$A$7</f>
            </numRef>
          </cat>
          <val>
            <numRef>
              <f>'Escenarios 6m'!$B$5:$B$7</f>
            </numRef>
          </val>
        </ser>
        <ser>
          <idx val="1"/>
          <order val="1"/>
          <tx>
            <strRef>
              <f>'Escenarios 6m'!C4</f>
            </strRef>
          </tx>
          <spPr>
            <a:ln>
              <a:prstDash val="solid"/>
            </a:ln>
          </spPr>
          <cat>
            <numRef>
              <f>'Escenarios 6m'!$A$5:$A$7</f>
            </numRef>
          </cat>
          <val>
            <numRef>
              <f>'Escenarios 6m'!$C$5:$C$7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Rentabilidad estimada (%)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Escenario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CSPX — iShares Core S&amp;P 500 UCITS ETF (Acc)</t>
        </is>
      </c>
    </row>
    <row r="2">
      <c r="A2" s="2" t="inlineStr">
        <is>
          <t>Informe histórico (2021-2025 + YTD 2026) y pronóstico a 6 meses</t>
        </is>
      </c>
    </row>
    <row r="4" ht="16" customHeight="1">
      <c r="A4" s="3" t="inlineStr">
        <is>
          <t>ISIN</t>
        </is>
      </c>
      <c r="B4" s="4" t="inlineStr">
        <is>
          <t>IE00B5BMR087</t>
        </is>
      </c>
    </row>
    <row r="5" ht="30" customHeight="1">
      <c r="A5" s="3" t="inlineStr">
        <is>
          <t>Bolsa / mercado</t>
        </is>
      </c>
      <c r="B5" s="4" t="inlineStr">
        <is>
          <t>Vehículo UCITS domiciliado en Irlanda; listado en LSE (CSPX), Xetra (SXR8), Euronext Ámsterdam, SIX y Borsa Italiana. Subyacente: índice S&amp;P 500 (EE.UU.).</t>
        </is>
      </c>
    </row>
    <row r="6" ht="16" customHeight="1">
      <c r="A6" s="3" t="inlineStr">
        <is>
          <t>Fecha de análisis</t>
        </is>
      </c>
      <c r="B6" s="4" t="inlineStr">
        <is>
          <t>2026-08-17</t>
        </is>
      </c>
    </row>
    <row r="7" ht="30" customHeight="1">
      <c r="A7" s="3" t="inlineStr">
        <is>
          <t>Fecha de corte de datos</t>
        </is>
      </c>
      <c r="B7" s="4" t="inlineStr">
        <is>
          <t>2026-08-12 a 2026-08-17 (mayoría de datos de mercado: 13-14 de agosto de 2026)</t>
        </is>
      </c>
    </row>
    <row r="8" ht="30" customHeight="1">
      <c r="A8" s="3" t="inlineStr">
        <is>
          <t>Analista / agente</t>
        </is>
      </c>
      <c r="B8" s="4" t="inlineStr">
        <is>
          <t>bolsa-europa (sub-agente especializado, repositorio Asesor Financiero)</t>
        </is>
      </c>
    </row>
    <row r="9" ht="30" customHeight="1">
      <c r="A9" s="3" t="inlineStr">
        <is>
          <t>Ficha markdown de referencia</t>
        </is>
      </c>
      <c r="B9" s="4" t="inlineStr">
        <is>
          <t>bolsas/europa/investigacion-activos/2026-08-17-cspx-informe-historico-pronostico.md</t>
        </is>
      </c>
    </row>
    <row r="11">
      <c r="A11" s="5" t="inlineStr">
        <is>
          <t>Alcance del informe</t>
        </is>
      </c>
    </row>
    <row r="12" ht="48" customHeight="1">
      <c r="A12" s="4" t="inlineStr">
        <is>
          <t>El usuario solicitó una ventana histórica de 4 años. CLAUDE.md (regla obligatoria del repositorio) exige un mínimo de 5 años para todo análisis de instrumentos, por lo que este informe cubre 2021-2025 (años calendario completos) más el año en curso (YTD 2026).</t>
        </is>
      </c>
    </row>
    <row r="14">
      <c r="A14" s="5" t="inlineStr">
        <is>
          <t>Aviso</t>
        </is>
      </c>
    </row>
    <row r="15" ht="48" customHeight="1">
      <c r="A15" s="6" t="inlineStr">
        <is>
          <t>Este documento es material educativo de análisis personal, no asesoría financiera profesional. Los escenarios de pronóstico son opinión del analista, no una predicción garantizada. Toda cifra lleva su fuente y fecha de verificación (ver hojas siguientes y la ficha .md).</t>
        </is>
      </c>
    </row>
    <row r="17">
      <c r="A17" s="5" t="inlineStr">
        <is>
          <t>Contenido del libro</t>
        </is>
      </c>
    </row>
    <row r="18">
      <c r="A18" s="7" t="inlineStr">
        <is>
          <t>• KPI</t>
        </is>
      </c>
    </row>
    <row r="19">
      <c r="A19" s="7" t="inlineStr">
        <is>
          <t>• Rentabilidad anual</t>
        </is>
      </c>
    </row>
    <row r="20">
      <c r="A20" s="7" t="inlineStr">
        <is>
          <t>• Precio NAV</t>
        </is>
      </c>
    </row>
    <row r="21">
      <c r="A21" s="7" t="inlineStr">
        <is>
          <t>• Escenarios 6m</t>
        </is>
      </c>
    </row>
    <row r="22">
      <c r="A22" s="7" t="inlineStr">
        <is>
          <t>• Fuentes</t>
        </is>
      </c>
    </row>
  </sheetData>
  <mergeCells count="4">
    <mergeCell ref="A15:B15"/>
    <mergeCell ref="A2:B2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38" customWidth="1" min="4" max="4"/>
    <col width="16" customWidth="1" min="5" max="5"/>
  </cols>
  <sheetData>
    <row r="1">
      <c r="A1" s="1" t="inlineStr">
        <is>
          <t>Tabla KPI — CSPX (iShares Core S&amp;P 500 UCITS ETF)</t>
        </is>
      </c>
    </row>
    <row r="2">
      <c r="A2" s="8" t="inlineStr">
        <is>
          <t>KPI</t>
        </is>
      </c>
      <c r="B2" s="8" t="inlineStr">
        <is>
          <t>Valor</t>
        </is>
      </c>
      <c r="C2" s="8" t="inlineStr">
        <is>
          <t>Unidad</t>
        </is>
      </c>
      <c r="D2" s="8" t="inlineStr">
        <is>
          <t>Fuente</t>
        </is>
      </c>
      <c r="E2" s="8" t="inlineStr">
        <is>
          <t>Fecha de corte</t>
        </is>
      </c>
    </row>
    <row r="3">
      <c r="A3" s="9" t="inlineStr">
        <is>
          <t>Precio de cotización (CSPX, LSE)</t>
        </is>
      </c>
      <c r="B3" s="10" t="n">
        <v>838.6900000000001</v>
      </c>
      <c r="C3" s="11" t="inlineStr">
        <is>
          <t>USD</t>
        </is>
      </c>
      <c r="D3" s="12" t="inlineStr">
        <is>
          <t>Yahoo Finance (vía agregador)</t>
        </is>
      </c>
      <c r="E3" s="13" t="inlineStr">
        <is>
          <t>2026-08-14</t>
        </is>
      </c>
    </row>
    <row r="4">
      <c r="A4" s="9" t="inlineStr">
        <is>
          <t>NAV oficial (clase USD Acc)</t>
        </is>
      </c>
      <c r="B4" s="10" t="n">
        <v>838.7452</v>
      </c>
      <c r="C4" s="11" t="inlineStr">
        <is>
          <t>USD</t>
        </is>
      </c>
      <c r="D4" s="12" t="inlineStr">
        <is>
          <t>BlackRock/iShares (vía agregador)</t>
        </is>
      </c>
      <c r="E4" s="13" t="inlineStr">
        <is>
          <t>2026-08-14</t>
        </is>
      </c>
    </row>
    <row r="5">
      <c r="A5" s="9" t="inlineStr">
        <is>
          <t>Rango 52 semanas — mínimo</t>
        </is>
      </c>
      <c r="B5" s="10" t="n">
        <v>680.03</v>
      </c>
      <c r="C5" s="11" t="inlineStr">
        <is>
          <t>USD</t>
        </is>
      </c>
      <c r="D5" s="12" t="inlineStr">
        <is>
          <t>Agregador de datos de mercado</t>
        </is>
      </c>
      <c r="E5" s="13" t="inlineStr">
        <is>
          <t>2026-08-14</t>
        </is>
      </c>
    </row>
    <row r="6">
      <c r="A6" s="9" t="inlineStr">
        <is>
          <t>Rango 52 semanas — máximo</t>
        </is>
      </c>
      <c r="B6" s="10" t="n">
        <v>840.08</v>
      </c>
      <c r="C6" s="11" t="inlineStr">
        <is>
          <t>USD</t>
        </is>
      </c>
      <c r="D6" s="12" t="inlineStr">
        <is>
          <t>Agregador de datos de mercado</t>
        </is>
      </c>
      <c r="E6" s="13" t="inlineStr">
        <is>
          <t>2026-08-14</t>
        </is>
      </c>
    </row>
    <row r="7">
      <c r="A7" s="9" t="inlineStr">
        <is>
          <t>AUM / patrimonio gestionado</t>
        </is>
      </c>
      <c r="B7" s="14" t="n">
        <v>160552</v>
      </c>
      <c r="C7" s="11" t="inlineStr">
        <is>
          <t>M USD</t>
        </is>
      </c>
      <c r="D7" s="12" t="inlineStr">
        <is>
          <t>Agregador citando factsheet BlackRock/iShares</t>
        </is>
      </c>
      <c r="E7" s="13" t="inlineStr">
        <is>
          <t>2026-08-14</t>
        </is>
      </c>
    </row>
    <row r="8">
      <c r="A8" s="9" t="inlineStr">
        <is>
          <t>TER (comisión anual)</t>
        </is>
      </c>
      <c r="B8" s="15" t="n">
        <v>0.0007</v>
      </c>
      <c r="C8" s="11" t="inlineStr">
        <is>
          <t>%</t>
        </is>
      </c>
      <c r="D8" s="12" t="inlineStr">
        <is>
          <t>justETF / BlackRock factsheet</t>
        </is>
      </c>
      <c r="E8" s="13" t="inlineStr">
        <is>
          <t>2026-08</t>
        </is>
      </c>
    </row>
    <row r="9">
      <c r="A9" s="9" t="inlineStr">
        <is>
          <t>Rentabilidad YTD 2026 (NAV, total return)</t>
        </is>
      </c>
      <c r="B9" s="15" t="n">
        <v>0.1456</v>
      </c>
      <c r="C9" s="11" t="inlineStr">
        <is>
          <t>%</t>
        </is>
      </c>
      <c r="D9" s="12" t="inlineStr">
        <is>
          <t>Agregador citando factsheet BlackRock/iShares</t>
        </is>
      </c>
      <c r="E9" s="13" t="inlineStr">
        <is>
          <t>2026-08-13/14</t>
        </is>
      </c>
    </row>
    <row r="10">
      <c r="A10" s="9" t="inlineStr">
        <is>
          <t>Rentabilidad anualizada 3a (trailing)</t>
        </is>
      </c>
      <c r="B10" s="15" t="n">
        <v>0.209</v>
      </c>
      <c r="C10" s="11" t="inlineStr">
        <is>
          <t>%</t>
        </is>
      </c>
      <c r="D10" s="12" t="inlineStr">
        <is>
          <t>PortfoliosLab</t>
        </is>
      </c>
      <c r="E10" s="13" t="inlineStr">
        <is>
          <t>2026-08-17</t>
        </is>
      </c>
    </row>
    <row r="11">
      <c r="A11" s="9" t="inlineStr">
        <is>
          <t>Rentabilidad anualizada 5a (trailing)</t>
        </is>
      </c>
      <c r="B11" s="15" t="n">
        <v>0.1293</v>
      </c>
      <c r="C11" s="11" t="inlineStr">
        <is>
          <t>%</t>
        </is>
      </c>
      <c r="D11" s="12" t="inlineStr">
        <is>
          <t>PortfoliosLab</t>
        </is>
      </c>
      <c r="E11" s="13" t="inlineStr">
        <is>
          <t>2026-08-17</t>
        </is>
      </c>
    </row>
    <row r="12">
      <c r="A12" s="9" t="inlineStr">
        <is>
          <t>Rentabilidad anualizada 10a (trailing)</t>
        </is>
      </c>
      <c r="B12" s="15" t="n">
        <v>0.1495</v>
      </c>
      <c r="C12" s="11" t="inlineStr">
        <is>
          <t>%</t>
        </is>
      </c>
      <c r="D12" s="12" t="inlineStr">
        <is>
          <t>PortfoliosLab</t>
        </is>
      </c>
      <c r="E12" s="13" t="inlineStr">
        <is>
          <t>2026-08-17</t>
        </is>
      </c>
    </row>
    <row r="13">
      <c r="A13" s="9" t="inlineStr">
        <is>
          <t>P/E forward S&amp;P 500 (subyacente)</t>
        </is>
      </c>
      <c r="B13" s="16" t="n">
        <v>20.2</v>
      </c>
      <c r="C13" s="11" t="inlineStr">
        <is>
          <t>x</t>
        </is>
      </c>
      <c r="D13" s="12" t="inlineStr">
        <is>
          <t>Agregador de datos de mercado (consenso FactSet)</t>
        </is>
      </c>
      <c r="E13" s="13" t="inlineStr">
        <is>
          <t>2026-08-07</t>
        </is>
      </c>
    </row>
    <row r="14">
      <c r="A14" s="9" t="inlineStr">
        <is>
          <t>P/E trailing S&amp;P 500 (subyacente)</t>
        </is>
      </c>
      <c r="B14" s="16" t="n">
        <v>26.5</v>
      </c>
      <c r="C14" s="11" t="inlineStr">
        <is>
          <t>x</t>
        </is>
      </c>
      <c r="D14" s="12" t="inlineStr">
        <is>
          <t>GuruFocus (vía agregador)</t>
        </is>
      </c>
      <c r="E14" s="13" t="inlineStr">
        <is>
          <t>2026-08</t>
        </is>
      </c>
    </row>
    <row r="15">
      <c r="A15" s="9" t="inlineStr">
        <is>
          <t>Concentración "Siete Magníficas" en el índice</t>
        </is>
      </c>
      <c r="B15" s="17" t="n">
        <v>0.335</v>
      </c>
      <c r="C15" s="11" t="inlineStr">
        <is>
          <t>% (aprox., rango 32-35%)</t>
        </is>
      </c>
      <c r="D15" s="12" t="inlineStr">
        <is>
          <t>Agregador citando MacroMicro/Motley Fool</t>
        </is>
      </c>
      <c r="E15" s="13" t="inlineStr">
        <is>
          <t>2026-08</t>
        </is>
      </c>
    </row>
    <row r="16">
      <c r="A16" s="18" t="inlineStr">
        <is>
          <t>Volatilidad anualizada de CSPX</t>
        </is>
      </c>
      <c r="B16" s="19" t="inlineStr">
        <is>
          <t>No verificado</t>
        </is>
      </c>
      <c r="C16" s="20" t="inlineStr">
        <is>
          <t>—</t>
        </is>
      </c>
      <c r="D16" s="12" t="inlineStr">
        <is>
          <t>PortfoliosLab (valores dispersos 3.38%-5.05%, sin cifra única confiable)</t>
        </is>
      </c>
      <c r="E16" s="13" t="inlineStr">
        <is>
          <t>2026-08-17</t>
        </is>
      </c>
    </row>
    <row r="18" ht="26" customHeight="1">
      <c r="A18" s="21" t="inlineStr">
        <is>
          <t>Nota: celdas en azul son datos verificados de fuentes externas (ver columna Fuente). Detalle completo y notas de transparencia en la ficha .md.</t>
        </is>
      </c>
    </row>
  </sheetData>
  <mergeCells count="2">
    <mergeCell ref="A1:E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42" customWidth="1" min="5" max="5"/>
    <col width="20" customWidth="1" min="6" max="6"/>
  </cols>
  <sheetData>
    <row r="1">
      <c r="A1" s="1" t="inlineStr">
        <is>
          <t>Rentabilidad anual de CSPX (total return, USD, clase Acc)</t>
        </is>
      </c>
    </row>
    <row r="2">
      <c r="A2" s="2" t="inlineStr">
        <is>
          <t>2021-2025 (años calendario cerrados) + 2026 parcial (YTD al 13/14-ago-2026)</t>
        </is>
      </c>
    </row>
    <row r="4">
      <c r="A4" s="22" t="inlineStr">
        <is>
          <t>Año</t>
        </is>
      </c>
      <c r="B4" s="22" t="inlineStr">
        <is>
          <t>Rentabilidad anual</t>
        </is>
      </c>
      <c r="C4" s="22" t="inlineStr">
        <is>
          <t>Factor acum. 5a
(desde 2021)</t>
        </is>
      </c>
      <c r="D4" s="22" t="inlineStr">
        <is>
          <t>Factor acum. 3a
(desde 2023)</t>
        </is>
      </c>
      <c r="E4" s="22" t="inlineStr">
        <is>
          <t>Fuente</t>
        </is>
      </c>
      <c r="F4" s="22" t="inlineStr">
        <is>
          <t>Fecha de consulta</t>
        </is>
      </c>
    </row>
    <row r="5">
      <c r="A5" s="9" t="inlineStr">
        <is>
          <t>2021</t>
        </is>
      </c>
      <c r="B5" s="23" t="n">
        <v>0.2984</v>
      </c>
      <c r="C5" s="24">
        <f>(1+B5)</f>
        <v/>
      </c>
      <c r="D5" s="20" t="n"/>
      <c r="E5" s="13" t="inlineStr">
        <is>
          <t>Yahoo Finance / Morningstar</t>
        </is>
      </c>
      <c r="F5" s="13" t="inlineStr">
        <is>
          <t>2026-07-24, reconfirmado 2026-08-17</t>
        </is>
      </c>
    </row>
    <row r="6">
      <c r="A6" s="9" t="inlineStr">
        <is>
          <t>2022</t>
        </is>
      </c>
      <c r="B6" s="23" t="n">
        <v>-0.1932</v>
      </c>
      <c r="C6" s="24">
        <f>C5*(1+B6)</f>
        <v/>
      </c>
      <c r="D6" s="20" t="n"/>
      <c r="E6" s="13" t="inlineStr">
        <is>
          <t>Yahoo Finance / Morningstar</t>
        </is>
      </c>
      <c r="F6" s="13" t="inlineStr">
        <is>
          <t>2026-07-24, reconfirmado 2026-08-17</t>
        </is>
      </c>
    </row>
    <row r="7">
      <c r="A7" s="9" t="inlineStr">
        <is>
          <t>2023</t>
        </is>
      </c>
      <c r="B7" s="23" t="n">
        <v>0.2612</v>
      </c>
      <c r="C7" s="24">
        <f>C6*(1+B7)</f>
        <v/>
      </c>
      <c r="D7" s="24">
        <f>(1+B7)</f>
        <v/>
      </c>
      <c r="E7" s="13" t="inlineStr">
        <is>
          <t>Yahoo Finance / Morningstar</t>
        </is>
      </c>
      <c r="F7" s="13" t="inlineStr">
        <is>
          <t>2026-07-24, reconfirmado 2026-08-17</t>
        </is>
      </c>
    </row>
    <row r="8">
      <c r="A8" s="9" t="inlineStr">
        <is>
          <t>2024</t>
        </is>
      </c>
      <c r="B8" s="23" t="n">
        <v>0.2573</v>
      </c>
      <c r="C8" s="24">
        <f>C7*(1+B8)</f>
        <v/>
      </c>
      <c r="D8" s="24">
        <f>D7*(1+B8)</f>
        <v/>
      </c>
      <c r="E8" s="13" t="inlineStr">
        <is>
          <t>Yahoo Finance / Morningstar</t>
        </is>
      </c>
      <c r="F8" s="13" t="inlineStr">
        <is>
          <t>2026-07-24, reconfirmado 2026-08-17</t>
        </is>
      </c>
    </row>
    <row r="9">
      <c r="A9" s="9" t="inlineStr">
        <is>
          <t>2025</t>
        </is>
      </c>
      <c r="B9" s="23" t="n">
        <v>0.1805</v>
      </c>
      <c r="C9" s="24">
        <f>C8*(1+B9)</f>
        <v/>
      </c>
      <c r="D9" s="24">
        <f>D8*(1+B9)</f>
        <v/>
      </c>
      <c r="E9" s="13" t="inlineStr">
        <is>
          <t>Yahoo Finance / Morningstar</t>
        </is>
      </c>
      <c r="F9" s="13" t="inlineStr">
        <is>
          <t>2026-07-24, reconfirmado 2026-08-17</t>
        </is>
      </c>
    </row>
    <row r="10">
      <c r="A10" s="9" t="inlineStr">
        <is>
          <t>2026 (YTD, parcial)</t>
        </is>
      </c>
      <c r="B10" s="23" t="n">
        <v>0.1456</v>
      </c>
      <c r="C10" s="20" t="n"/>
      <c r="D10" s="20" t="n"/>
      <c r="E10" s="13" t="inlineStr">
        <is>
          <t>Agregador citando factsheet BlackRock/iShares</t>
        </is>
      </c>
      <c r="F10" s="13" t="inlineStr">
        <is>
          <t>2026-08-13/14</t>
        </is>
      </c>
    </row>
    <row r="12">
      <c r="A12" s="5" t="inlineStr">
        <is>
          <t>Estadísticas calculadas (2021-2025, años calendario cerrados)</t>
        </is>
      </c>
    </row>
    <row r="13">
      <c r="A13" s="9" t="inlineStr">
        <is>
          <t>Rentabilidad media anual (2021-2025)</t>
        </is>
      </c>
      <c r="B13" s="25">
        <f>AVERAGE(B5:B9)</f>
        <v/>
      </c>
    </row>
    <row r="14">
      <c r="A14" s="9" t="inlineStr">
        <is>
          <t>Rentabilidad acumulada (2021-2025, compuesta)</t>
        </is>
      </c>
      <c r="B14" s="25">
        <f>C9-1</f>
        <v/>
      </c>
    </row>
    <row r="15">
      <c r="A15" s="9" t="inlineStr">
        <is>
          <t>Rentabilidad anualizada / CAGR (2021-2025, 5 años)</t>
        </is>
      </c>
      <c r="B15" s="25">
        <f>C9^(1/5)-1</f>
        <v/>
      </c>
    </row>
    <row r="16">
      <c r="A16" s="9" t="inlineStr">
        <is>
          <t>Rentabilidad anualizada / CAGR (2023-2025, 3 años)</t>
        </is>
      </c>
      <c r="B16" s="25">
        <f>D9^(1/3)-1</f>
        <v/>
      </c>
    </row>
    <row r="17">
      <c r="A17" s="9" t="inlineStr">
        <is>
          <t>Peor año del periodo</t>
        </is>
      </c>
      <c r="B17" s="25">
        <f>MIN(B5:B10)</f>
        <v/>
      </c>
    </row>
    <row r="18">
      <c r="A18" s="9" t="inlineStr">
        <is>
          <t>Mejor año del periodo (cerrado)</t>
        </is>
      </c>
      <c r="B18" s="25">
        <f>MAX(B5:B9)</f>
        <v/>
      </c>
    </row>
    <row r="20" ht="34" customHeight="1">
      <c r="A20" s="21" t="inlineStr">
        <is>
          <t>Nota: la fila 2026 (YTD, parcial) se excluye del cálculo de CAGR/acumulada por no ser un año calendario cerrado. Las columnas "Factor acumulado" encadenan (1+rentabilidad) año a año con fórmulas simples (no array) para máxima compatibilidad. Azul = dato verificado externo; negro = fórmula.</t>
        </is>
      </c>
    </row>
  </sheetData>
  <mergeCells count="4">
    <mergeCell ref="A1:D1"/>
    <mergeCell ref="A12:D12"/>
    <mergeCell ref="A20:D20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46" customWidth="1" min="4" max="4"/>
  </cols>
  <sheetData>
    <row r="1">
      <c r="A1" s="1" t="inlineStr">
        <is>
          <t>Precio / NAV estimado de cierre de año (USD, línea CSPX-LSE)</t>
        </is>
      </c>
    </row>
    <row r="2" ht="26" customHeight="1">
      <c r="A2" s="26" t="inlineStr">
        <is>
          <t>Serie calculada retroactivamente a partir de rentabilidades anuales verificadas sobre el precio observado en agosto de 2026 (~838.70 USD). No son cierres de bolsa verificados directamente para 2020-2025.</t>
        </is>
      </c>
    </row>
    <row r="4">
      <c r="A4" s="8" t="inlineStr">
        <is>
          <t>Año</t>
        </is>
      </c>
      <c r="B4" s="8" t="inlineStr">
        <is>
          <t>Precio/NAV aprox. (USD)</t>
        </is>
      </c>
      <c r="C4" s="8" t="inlineStr">
        <is>
          <t>Estado</t>
        </is>
      </c>
      <c r="D4" s="8" t="inlineStr">
        <is>
          <t>Fuente / método</t>
        </is>
      </c>
    </row>
    <row r="5">
      <c r="A5" s="9" t="inlineStr">
        <is>
          <t>2020</t>
        </is>
      </c>
      <c r="B5" s="27" t="n">
        <v>374</v>
      </c>
      <c r="C5" s="28" t="inlineStr">
        <is>
          <t>Calculado (retroactivo)</t>
        </is>
      </c>
      <c r="D5" s="12" t="inlineStr">
        <is>
          <t>Encadenado retroactivamente desde el precio observado ago-2026 usando las rentabilidades anuales de la hoja 'Rentabilidad anual'</t>
        </is>
      </c>
    </row>
    <row r="6">
      <c r="A6" s="9" t="inlineStr">
        <is>
          <t>2021</t>
        </is>
      </c>
      <c r="B6" s="27" t="n">
        <v>485</v>
      </c>
      <c r="C6" s="28" t="inlineStr">
        <is>
          <t>Calculado (retroactivo)</t>
        </is>
      </c>
      <c r="D6" s="12" t="inlineStr">
        <is>
          <t>Encadenado retroactivamente desde el precio observado ago-2026 usando las rentabilidades anuales de la hoja 'Rentabilidad anual'</t>
        </is>
      </c>
    </row>
    <row r="7">
      <c r="A7" s="9" t="inlineStr">
        <is>
          <t>2022</t>
        </is>
      </c>
      <c r="B7" s="27" t="n">
        <v>391</v>
      </c>
      <c r="C7" s="28" t="inlineStr">
        <is>
          <t>Calculado (retroactivo)</t>
        </is>
      </c>
      <c r="D7" s="12" t="inlineStr">
        <is>
          <t>Encadenado retroactivamente desde el precio observado ago-2026 usando las rentabilidades anuales de la hoja 'Rentabilidad anual'</t>
        </is>
      </c>
    </row>
    <row r="8">
      <c r="A8" s="9" t="inlineStr">
        <is>
          <t>2023</t>
        </is>
      </c>
      <c r="B8" s="27" t="n">
        <v>493</v>
      </c>
      <c r="C8" s="28" t="inlineStr">
        <is>
          <t>Calculado (retroactivo)</t>
        </is>
      </c>
      <c r="D8" s="12" t="inlineStr">
        <is>
          <t>Encadenado retroactivamente desde el precio observado ago-2026 usando las rentabilidades anuales de la hoja 'Rentabilidad anual'</t>
        </is>
      </c>
    </row>
    <row r="9">
      <c r="A9" s="9" t="inlineStr">
        <is>
          <t>2024</t>
        </is>
      </c>
      <c r="B9" s="27" t="n">
        <v>620</v>
      </c>
      <c r="C9" s="28" t="inlineStr">
        <is>
          <t>Calculado (retroactivo)</t>
        </is>
      </c>
      <c r="D9" s="12" t="inlineStr">
        <is>
          <t>Encadenado retroactivamente desde el precio observado ago-2026 usando las rentabilidades anuales de la hoja 'Rentabilidad anual'</t>
        </is>
      </c>
    </row>
    <row r="10">
      <c r="A10" s="9" t="inlineStr">
        <is>
          <t>2025</t>
        </is>
      </c>
      <c r="B10" s="27" t="n">
        <v>732</v>
      </c>
      <c r="C10" s="28" t="inlineStr">
        <is>
          <t>Calculado (retroactivo)</t>
        </is>
      </c>
      <c r="D10" s="12" t="inlineStr">
        <is>
          <t>Encadenado retroactivamente desde el precio observado ago-2026 usando las rentabilidades anuales de la hoja 'Rentabilidad anual'</t>
        </is>
      </c>
    </row>
    <row r="11">
      <c r="A11" s="9" t="inlineStr">
        <is>
          <t>2026</t>
        </is>
      </c>
      <c r="B11" s="10" t="n">
        <v>838.7</v>
      </c>
      <c r="C11" s="28" t="inlineStr">
        <is>
          <t>Observado (no cierre de año)</t>
        </is>
      </c>
      <c r="D11" s="12" t="inlineStr">
        <is>
          <t>Yahoo Finance / BlackRock (vía agregador), 2026-08-14</t>
        </is>
      </c>
    </row>
    <row r="13">
      <c r="A13" s="29" t="inlineStr">
        <is>
          <t>Los puntos 2020-2025 son estimados/interpolados (declarado explícitamente); solo 2026 es un valor observado.</t>
        </is>
      </c>
    </row>
  </sheetData>
  <mergeCells count="3">
    <mergeCell ref="A1:D1"/>
    <mergeCell ref="A13:D1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Pronóstico a 6 meses — 3 escenarios (17-ago-2026 a ~17-feb-2027)</t>
        </is>
      </c>
    </row>
    <row r="2">
      <c r="A2" s="30" t="inlineStr">
        <is>
          <t>OPINIÓN / PROYECCIÓN EDUCATIVA del analista — no es un hecho ni una recomendación de inversión.</t>
        </is>
      </c>
    </row>
    <row r="4">
      <c r="A4" s="8" t="inlineStr">
        <is>
          <t>Escenario</t>
        </is>
      </c>
      <c r="B4" s="8" t="inlineStr">
        <is>
          <t>Rentabilidad mínima</t>
        </is>
      </c>
      <c r="C4" s="8" t="inlineStr">
        <is>
          <t>Rentabilidad máxima</t>
        </is>
      </c>
      <c r="D4" s="8" t="inlineStr">
        <is>
          <t>Punto medio</t>
        </is>
      </c>
      <c r="E4" s="8" t="inlineStr">
        <is>
          <t>Supuesto clave</t>
        </is>
      </c>
    </row>
    <row r="5" ht="46" customHeight="1">
      <c r="A5" s="31" t="inlineStr">
        <is>
          <t>Alcista</t>
        </is>
      </c>
      <c r="B5" s="32" t="n">
        <v>0.08</v>
      </c>
      <c r="C5" s="32" t="n">
        <v>0.15</v>
      </c>
      <c r="D5" s="33">
        <f>AVERAGE(B5:C5)</f>
        <v/>
      </c>
      <c r="E5" s="34" t="inlineStr">
        <is>
          <t>Fed retoma recortes de tasas; conflicto EE.UU.-Irán se congela o resuelve; tregua comercial UE-EE.UU. ("Turnberry") se consolida; sorpresas positivas de beneficios en IA.</t>
        </is>
      </c>
    </row>
    <row r="6" ht="46" customHeight="1">
      <c r="A6" s="31" t="inlineStr">
        <is>
          <t>Base</t>
        </is>
      </c>
      <c r="B6" s="32" t="n">
        <v>0</v>
      </c>
      <c r="C6" s="32" t="n">
        <v>0.08</v>
      </c>
      <c r="D6" s="33">
        <f>AVERAGE(B6:C6)</f>
        <v/>
      </c>
      <c r="E6" s="34" t="inlineStr">
        <is>
          <t>Fed mantiene tasas en 3.50%-3.75% (o recorte moderado); desinflación gradual; conflicto con Irán persiste sin escalar a crisis energética mayor.</t>
        </is>
      </c>
    </row>
    <row r="7" ht="46" customHeight="1">
      <c r="A7" s="31" t="inlineStr">
        <is>
          <t>Bajista</t>
        </is>
      </c>
      <c r="B7" s="32" t="n">
        <v>-0.15</v>
      </c>
      <c r="C7" s="32" t="n">
        <v>-0.03</v>
      </c>
      <c r="D7" s="33">
        <f>AVERAGE(B7:C7)</f>
        <v/>
      </c>
      <c r="E7" s="34" t="inlineStr">
        <is>
          <t>Repunte inflacionario fuerza a la Fed a considerar subir tasas; escalada del conflicto con Irán o reapertura de la disputa arancelaria UE-EE.UU.; corrección en megacaps de IA.</t>
        </is>
      </c>
    </row>
    <row r="29" ht="26" customHeight="1">
      <c r="A29" s="21" t="inlineStr">
        <is>
          <t>Fuente de los rangos: análisis propio del analista (ficha .md, sección Escenarios), sin efecto de conversión de divisa para un inversor europeo o colombiano.</t>
        </is>
      </c>
    </row>
  </sheetData>
  <mergeCells count="3">
    <mergeCell ref="A2:E2"/>
    <mergeCell ref="A1:E1"/>
    <mergeCell ref="A29:E2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18" customWidth="1" min="3" max="3"/>
  </cols>
  <sheetData>
    <row r="1">
      <c r="A1" s="1" t="inlineStr">
        <is>
          <t>Fuentes consultadas</t>
        </is>
      </c>
    </row>
    <row r="3">
      <c r="A3" s="8" t="inlineStr">
        <is>
          <t>Fuente</t>
        </is>
      </c>
      <c r="B3" s="8" t="inlineStr">
        <is>
          <t>Uso en este informe</t>
        </is>
      </c>
      <c r="C3" s="8" t="inlineStr">
        <is>
          <t>Fecha de consulta</t>
        </is>
      </c>
    </row>
    <row r="4" ht="30" customHeight="1">
      <c r="A4" s="9" t="inlineStr">
        <is>
          <t>BlackRock / iShares (ishares.com, blackrock.com)</t>
        </is>
      </c>
      <c r="B4" s="34" t="inlineStr">
        <is>
          <t>Ficha de producto y factsheet de CSPX (AUM, TER, acciones en circulación)</t>
        </is>
      </c>
      <c r="C4" s="13" t="inlineStr">
        <is>
          <t>2026-08-17</t>
        </is>
      </c>
    </row>
    <row r="5" ht="30" customHeight="1">
      <c r="A5" s="9" t="inlineStr">
        <is>
          <t>justETF (justetf.com)</t>
        </is>
      </c>
      <c r="B5" s="34" t="inlineStr">
        <is>
          <t>Ficha de producto ISIN IE00B5BMR087, TER, método de réplica</t>
        </is>
      </c>
      <c r="C5" s="13" t="inlineStr">
        <is>
          <t>2026-08-17</t>
        </is>
      </c>
    </row>
    <row r="6" ht="30" customHeight="1">
      <c r="A6" s="9" t="inlineStr">
        <is>
          <t>Yahoo Finance (finance.yahoo.com)</t>
        </is>
      </c>
      <c r="B6" s="34" t="inlineStr">
        <is>
          <t>Cotización e histórico CSPX.L / CSPX.AS</t>
        </is>
      </c>
      <c r="C6" s="13" t="inlineStr">
        <is>
          <t>2026-08-17</t>
        </is>
      </c>
    </row>
    <row r="7" ht="30" customHeight="1">
      <c r="A7" s="9" t="inlineStr">
        <is>
          <t>Investing.com</t>
        </is>
      </c>
      <c r="B7" s="34" t="inlineStr">
        <is>
          <t>Cotización e histórico de CSPX</t>
        </is>
      </c>
      <c r="C7" s="13" t="inlineStr">
        <is>
          <t>2026-08-17</t>
        </is>
      </c>
    </row>
    <row r="8" ht="30" customHeight="1">
      <c r="A8" s="9" t="inlineStr">
        <is>
          <t>PortfoliosLab (portfolioslab.com)</t>
        </is>
      </c>
      <c r="B8" s="34" t="inlineStr">
        <is>
          <t>Rentabilidades anualizadas trailing 3/5/10 años, volatilidad</t>
        </is>
      </c>
      <c r="C8" s="13" t="inlineStr">
        <is>
          <t>2026-08-17</t>
        </is>
      </c>
    </row>
    <row r="9" ht="30" customHeight="1">
      <c r="A9" s="9" t="inlineStr">
        <is>
          <t>CNBC</t>
        </is>
      </c>
      <c r="B9" s="34" t="inlineStr">
        <is>
          <t>Reunión de la Fed 29-jul-2026, IPC de julio (12-ago-2026), máximos históricos S&amp;P 500</t>
        </is>
      </c>
      <c r="C9" s="13" t="inlineStr">
        <is>
          <t>2026-08-17</t>
        </is>
      </c>
    </row>
    <row r="10" ht="30" customHeight="1">
      <c r="A10" s="9" t="inlineStr">
        <is>
          <t>Al Jazeera</t>
        </is>
      </c>
      <c r="B10" s="34" t="inlineStr">
        <is>
          <t>Guerra Israel-EE.UU.-Irán, precio del petróleo Brent, disputa UE-EE.UU./Groenlandia</t>
        </is>
      </c>
      <c r="C10" s="13" t="inlineStr">
        <is>
          <t>2026-08-17</t>
        </is>
      </c>
    </row>
    <row r="11" ht="30" customHeight="1">
      <c r="A11" s="9" t="inlineStr">
        <is>
          <t>Comisión Europea / Consejo de la UE</t>
        </is>
      </c>
      <c r="B11" s="34" t="inlineStr">
        <is>
          <t>Entrada en vigor del marco comercial "Turnberry" (1-jul-2026)</t>
        </is>
      </c>
      <c r="C11" s="13" t="inlineStr">
        <is>
          <t>2026-08-17</t>
        </is>
      </c>
    </row>
    <row r="12" ht="30" customHeight="1">
      <c r="A12" s="9" t="inlineStr">
        <is>
          <t>Bruegel (bruegel.org)</t>
        </is>
      </c>
      <c r="B12" s="34" t="inlineStr">
        <is>
          <t>Análisis de fricción comercial UE-EE.UU. y Groenlandia (fecha exacta no verificada)</t>
        </is>
      </c>
      <c r="C12" s="13" t="inlineStr">
        <is>
          <t>2026-08-17</t>
        </is>
      </c>
    </row>
    <row r="13" ht="30" customHeight="1">
      <c r="A13" s="9" t="inlineStr">
        <is>
          <t>Banco Central Europeo (BCE)</t>
        </is>
      </c>
      <c r="B13" s="34" t="inlineStr">
        <is>
          <t>Decisión de política monetaria de julio de 2026 (tasa de depósito 2.25%)</t>
        </is>
      </c>
      <c r="C13" s="13" t="inlineStr">
        <is>
          <t>2026-08-17</t>
        </is>
      </c>
    </row>
    <row r="14" ht="30" customHeight="1">
      <c r="A14" s="9" t="inlineStr">
        <is>
          <t>Banco de la República de Colombia</t>
        </is>
      </c>
      <c r="B14" s="34" t="inlineStr">
        <is>
          <t>TRM de agosto de 2026</t>
        </is>
      </c>
      <c r="C14" s="13" t="inlineStr">
        <is>
          <t>2026-08-17</t>
        </is>
      </c>
    </row>
    <row r="15" ht="30" customHeight="1">
      <c r="A15" s="9" t="inlineStr">
        <is>
          <t>Federal Reserve (Junta de Gobernadores)</t>
        </is>
      </c>
      <c r="B15" s="34" t="inlineStr">
        <is>
          <t>Comunicado e implementación de la decisión del FOMC 29-jul-2026</t>
        </is>
      </c>
      <c r="C15" s="13" t="inlineStr">
        <is>
          <t>2026-08-17</t>
        </is>
      </c>
    </row>
    <row r="16" ht="30" customHeight="1">
      <c r="A16" s="9" t="inlineStr">
        <is>
          <t>GuruFocus, Kiplinger, MacroMicro, Motley Fool, otros agregadores</t>
        </is>
      </c>
      <c r="B16" s="34" t="inlineStr">
        <is>
          <t>P/E, IPC, concentración de índice — citados por transparencia; no todos figuran en la lista oficial de fuentes de confianza del sub-agente</t>
        </is>
      </c>
      <c r="C16" s="13" t="inlineStr">
        <is>
          <t>2026-08-17</t>
        </is>
      </c>
    </row>
    <row r="18" ht="40" customHeight="1">
      <c r="A18" s="21" t="inlineStr">
        <is>
          <t>Nota final de transparencia: el acceso directo (WebFetch) a la mayoría de fuentes primarias estuvo bloqueado durante la investigación; los datos se obtuvieron vía resultados de búsqueda agregados que citan dichas fuentes. Ver ficha .md completa para el detalle metodológico.</t>
        </is>
      </c>
    </row>
  </sheetData>
  <mergeCells count="2">
    <mergeCell ref="A1:C1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2026-08-17T14:30:28Z</dcterms:created>
  <dcterms:modified xsi:type="dcterms:W3CDTF">2026-08-17T14:30:28Z</dcterms:modified>
</cp:coreProperties>
</file>