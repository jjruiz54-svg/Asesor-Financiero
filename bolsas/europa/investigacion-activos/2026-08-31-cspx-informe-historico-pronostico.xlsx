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Historico_Anual" sheetId="2" state="visible" r:id="rId2"/>
    <sheet name="Pronostico_6M" sheetId="3" state="visible" r:id="rId3"/>
    <sheet name="Fuente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name val="Arial"/>
      <b val="1"/>
      <sz val="14"/>
    </font>
    <font>
      <name val="Arial"/>
      <i val="1"/>
      <color rgb="00555555"/>
      <sz val="9"/>
    </font>
    <font>
      <name val="Arial"/>
      <b val="1"/>
      <color rgb="00FFFFFF"/>
      <sz val="10"/>
    </font>
    <font>
      <name val="Arial"/>
      <sz val="10"/>
    </font>
    <font>
      <name val="Arial"/>
      <color rgb="000000FF"/>
      <sz val="10"/>
    </font>
    <font>
      <name val="Arial"/>
      <i val="1"/>
      <color rgb="00777777"/>
      <sz val="8"/>
    </font>
  </fonts>
  <fills count="3">
    <fill>
      <patternFill/>
    </fill>
    <fill>
      <patternFill patternType="gray125"/>
    </fill>
    <fill>
      <patternFill patternType="solid">
        <fgColor rgb="00EDA1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0" borderId="1" pivotButton="0" quotePrefix="0" xfId="0"/>
    <xf numFmtId="0" fontId="5" fillId="0" borderId="1" pivotButton="0" quotePrefix="0" xfId="0"/>
    <xf numFmtId="2" fontId="5" fillId="0" borderId="1" pivotButton="0" quotePrefix="0" xfId="0"/>
    <xf numFmtId="10" fontId="5" fillId="0" borderId="1" pivotButton="0" quotePrefix="0" xfId="0"/>
    <xf numFmtId="3" fontId="5" fillId="0" borderId="1" pivotButton="0" quotePrefix="0" xfId="0"/>
    <xf numFmtId="0" fontId="6" fillId="0" borderId="0" applyAlignment="1" pivotButton="0" quotePrefix="0" xfId="0">
      <alignment wrapText="1"/>
    </xf>
    <xf numFmtId="164" fontId="4" fillId="0" borderId="1" pivotButton="0" quotePrefix="0" xfId="0"/>
    <xf numFmtId="4" fontId="4" fillId="0" borderId="1" pivotButton="0" quotePrefix="0" xfId="0"/>
    <xf numFmtId="4" fontId="5" fillId="0" borderId="1" pivotButton="0" quotePrefix="0" xfId="0"/>
    <xf numFmtId="165" fontId="5" fillId="0" borderId="1" pivotButton="0" quotePrefix="0" xfId="0"/>
    <xf numFmtId="165" fontId="4" fillId="0" borderId="1" pivotButton="0" quotePrefix="0" xfId="0"/>
    <xf numFmtId="0" fontId="4" fillId="0" borderId="1" applyAlignment="1" pivotButton="0" quotePrefix="0" xfId="0">
      <alignment wrapText="1"/>
    </xf>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CSPX — Rentabilidad anual (%), 2021-2026 YTD</a:t>
            </a:r>
          </a:p>
        </rich>
      </tx>
    </title>
    <plotArea>
      <barChart>
        <barDir val="col"/>
        <grouping val="clustered"/>
        <ser>
          <idx val="0"/>
          <order val="0"/>
          <tx>
            <strRef>
              <f>'Historico_Anual'!B4</f>
            </strRef>
          </tx>
          <spPr>
            <a:solidFill>
              <a:srgbClr val="EDA100"/>
            </a:solidFill>
            <a:ln>
              <a:prstDash val="solid"/>
            </a:ln>
          </spPr>
          <cat>
            <numRef>
              <f>'Historico_Anual'!$A$5:$A$10</f>
            </numRef>
          </cat>
          <val>
            <numRef>
              <f>'Historico_Anual'!$B$5:$B$10</f>
            </numRef>
          </val>
        </ser>
        <gapWidth val="150"/>
        <axId val="10"/>
        <axId val="100"/>
      </barChart>
      <catAx>
        <axId val="10"/>
        <scaling>
          <orientation val="minMax"/>
        </scaling>
        <axPos val="l"/>
        <title>
          <tx>
            <rich>
              <a:bodyPr/>
              <a:p>
                <a:pPr>
                  <a:defRPr/>
                </a:pPr>
                <a:r>
                  <a:t>Año</a:t>
                </a:r>
              </a:p>
            </rich>
          </tx>
        </title>
        <majorTickMark val="none"/>
        <minorTickMark val="none"/>
        <crossAx val="100"/>
        <lblOffset val="100"/>
      </catAx>
      <valAx>
        <axId val="100"/>
        <scaling>
          <orientation val="minMax"/>
        </scaling>
        <axPos val="l"/>
        <majorGridlines/>
        <title>
          <tx>
            <rich>
              <a:bodyPr/>
              <a:p>
                <a:pPr>
                  <a:defRPr/>
                </a:pPr>
                <a:r>
                  <a:t>Rentabilidad anual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CSPX — Índice acumulado (base 100 = cierre 2021)</a:t>
            </a:r>
          </a:p>
        </rich>
      </tx>
    </title>
    <plotArea>
      <lineChart>
        <grouping val="standard"/>
        <ser>
          <idx val="0"/>
          <order val="0"/>
          <tx>
            <strRef>
              <f>'Historico_Anual'!C4</f>
            </strRef>
          </tx>
          <spPr>
            <a:ln w="25000">
              <a:solidFill>
                <a:srgbClr val="EDA100"/>
              </a:solidFill>
              <a:prstDash val="solid"/>
            </a:ln>
          </spPr>
          <marker>
            <symbol val="none"/>
            <spPr>
              <a:ln>
                <a:prstDash val="solid"/>
              </a:ln>
            </spPr>
          </marker>
          <cat>
            <numRef>
              <f>'Historico_Anual'!$A$5:$A$10</f>
            </numRef>
          </cat>
          <val>
            <numRef>
              <f>'Historico_Anual'!$C$5:$C$10</f>
            </numRef>
          </val>
        </ser>
        <axId val="10"/>
        <axId val="100"/>
      </lineChart>
      <catAx>
        <axId val="10"/>
        <scaling>
          <orientation val="minMax"/>
        </scaling>
        <axPos val="l"/>
        <title>
          <tx>
            <rich>
              <a:bodyPr/>
              <a:p>
                <a:pPr>
                  <a:defRPr/>
                </a:pPr>
                <a:r>
                  <a:t>Año</a:t>
                </a:r>
              </a:p>
            </rich>
          </tx>
        </title>
        <majorTickMark val="none"/>
        <minorTickMark val="none"/>
        <crossAx val="100"/>
        <lblOffset val="100"/>
      </catAx>
      <valAx>
        <axId val="100"/>
        <scaling>
          <orientation val="minMax"/>
        </scaling>
        <axPos val="l"/>
        <majorGridlines/>
        <title>
          <tx>
            <rich>
              <a:bodyPr/>
              <a:p>
                <a:pPr>
                  <a:defRPr/>
                </a:pPr>
                <a:r>
                  <a:t>Índice (base 100)</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CSPX — Rango de rentabilidad estimada a 6 meses por escenario</a:t>
            </a:r>
          </a:p>
        </rich>
      </tx>
    </title>
    <plotArea>
      <barChart>
        <barDir val="bar"/>
        <grouping val="clustered"/>
        <ser>
          <idx val="0"/>
          <order val="0"/>
          <tx>
            <strRef>
              <f>'Pronostico_6M'!B4</f>
            </strRef>
          </tx>
          <spPr>
            <a:solidFill>
              <a:srgbClr val="CCCCCC"/>
            </a:solidFill>
            <a:ln>
              <a:prstDash val="solid"/>
            </a:ln>
          </spPr>
          <cat>
            <numRef>
              <f>'Pronostico_6M'!$A$5:$A$7</f>
            </numRef>
          </cat>
          <val>
            <numRef>
              <f>'Pronostico_6M'!$B$5:$B$7</f>
            </numRef>
          </val>
        </ser>
        <ser>
          <idx val="1"/>
          <order val="1"/>
          <tx>
            <strRef>
              <f>'Pronostico_6M'!C4</f>
            </strRef>
          </tx>
          <spPr>
            <a:solidFill>
              <a:srgbClr val="EDA100"/>
            </a:solidFill>
            <a:ln>
              <a:prstDash val="solid"/>
            </a:ln>
          </spPr>
          <cat>
            <numRef>
              <f>'Pronostico_6M'!$A$5:$A$7</f>
            </numRef>
          </cat>
          <val>
            <numRef>
              <f>'Pronostico_6M'!$C$5:$C$7</f>
            </numRef>
          </val>
        </ser>
        <gapWidth val="150"/>
        <axId val="10"/>
        <axId val="100"/>
      </barChart>
      <catAx>
        <axId val="10"/>
        <scaling>
          <orientation val="minMax"/>
        </scaling>
        <axPos val="l"/>
        <title>
          <tx>
            <rich>
              <a:bodyPr/>
              <a:p>
                <a:pPr>
                  <a:defRPr/>
                </a:pPr>
                <a:r>
                  <a:t>Rentabilidad estimada (%)</a:t>
                </a:r>
              </a:p>
            </rich>
          </tx>
        </title>
        <majorTickMark val="none"/>
        <minorTickMark val="none"/>
        <crossAx val="100"/>
        <lblOffset val="100"/>
      </catAx>
      <valAx>
        <axId val="100"/>
        <scaling>
          <orientation val="minMax"/>
        </scaling>
        <axPos val="l"/>
        <majorGridlines/>
        <title>
          <tx>
            <rich>
              <a:bodyPr/>
              <a:p>
                <a:pPr>
                  <a:defRPr/>
                </a:pPr>
                <a:r>
                  <a:t>Escenario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20</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9</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E22"/>
  <sheetViews>
    <sheetView workbookViewId="0">
      <pane ySplit="5" topLeftCell="A6" activePane="bottomLeft" state="frozen"/>
      <selection pane="bottomLeft" activeCell="A1" sqref="A1"/>
    </sheetView>
  </sheetViews>
  <sheetFormatPr baseColWidth="8" defaultRowHeight="15"/>
  <cols>
    <col width="42" customWidth="1" min="1" max="1"/>
    <col width="16" customWidth="1" min="2" max="2"/>
    <col width="40" customWidth="1" min="3" max="3"/>
    <col width="20" customWidth="1" min="4" max="4"/>
  </cols>
  <sheetData>
    <row r="1">
      <c r="A1" s="1" t="inlineStr">
        <is>
          <t>CSPX — iShares Core S&amp;P 500 UCITS ETF (Acc)</t>
        </is>
      </c>
    </row>
    <row r="2">
      <c r="A2" s="2" t="inlineStr">
        <is>
          <t>Informe histórico (últimos 4-5 años) y pronóstico ilustrativo a 6 meses · Fecha de corte: 27/28 de agosto de 2026 · Fecha de análisis: 31 de agosto de 2026</t>
        </is>
      </c>
    </row>
    <row r="3" ht="30" customHeight="1">
      <c r="A3" s="3" t="inlineStr">
        <is>
          <t>Ficha completa y metodología (fuentes, notas de transparencia): bolsas/europa/investigacion-activos/2026-08-31-cspx-informe-historico-pronostico.md. El pronóstico es una proyección educativa del analista, NO una predicción garantizada ni asesoría financiera.</t>
        </is>
      </c>
    </row>
    <row r="5">
      <c r="A5" s="4" t="inlineStr">
        <is>
          <t>KPI</t>
        </is>
      </c>
      <c r="B5" s="4" t="inlineStr">
        <is>
          <t>Valor</t>
        </is>
      </c>
      <c r="C5" s="4" t="inlineStr">
        <is>
          <t>Fuente</t>
        </is>
      </c>
      <c r="D5" s="4" t="inlineStr">
        <is>
          <t>Fecha del dato</t>
        </is>
      </c>
    </row>
    <row r="6">
      <c r="A6" s="5" t="inlineStr">
        <is>
          <t>ISIN</t>
        </is>
      </c>
      <c r="B6" s="6" t="inlineStr">
        <is>
          <t>IE00B5BMR087</t>
        </is>
      </c>
      <c r="C6" s="5" t="inlineStr">
        <is>
          <t>justETF / BlackRock</t>
        </is>
      </c>
      <c r="D6" s="5" t="inlineStr">
        <is>
          <t>2026-07/08</t>
        </is>
      </c>
    </row>
    <row r="7">
      <c r="A7" s="5" t="inlineStr">
        <is>
          <t>NAV del fondo (línea CSPX, LSE, USD)</t>
        </is>
      </c>
      <c r="B7" s="7" t="n">
        <v>831.12</v>
      </c>
      <c r="C7" s="5" t="inlineStr">
        <is>
          <t>Agregador citando BlackRock/iShares</t>
        </is>
      </c>
      <c r="D7" s="5" t="inlineStr">
        <is>
          <t>2026-08-28</t>
        </is>
      </c>
    </row>
    <row r="8">
      <c r="A8" s="5" t="inlineStr">
        <is>
          <t>NAV del fondo, día previo (USD)</t>
        </is>
      </c>
      <c r="B8" s="7" t="n">
        <v>833.17</v>
      </c>
      <c r="C8" s="5" t="inlineStr">
        <is>
          <t>Agregador citando BlackRock/iShares</t>
        </is>
      </c>
      <c r="D8" s="5" t="inlineStr">
        <is>
          <t>2026-08-27</t>
        </is>
      </c>
    </row>
    <row r="9">
      <c r="A9" s="5" t="inlineStr">
        <is>
          <t>Precio de cotización LSE (USD)</t>
        </is>
      </c>
      <c r="B9" s="7" t="n">
        <v>832.38</v>
      </c>
      <c r="C9" s="5" t="inlineStr">
        <is>
          <t>Agregador citando Yahoo Finance/Investing.com</t>
        </is>
      </c>
      <c r="D9" s="5" t="inlineStr">
        <is>
          <t>2026-08-27</t>
        </is>
      </c>
    </row>
    <row r="10">
      <c r="A10" s="5" t="inlineStr">
        <is>
          <t>Rango 52 semanas — mínimo (USD)</t>
        </is>
      </c>
      <c r="B10" s="7" t="n">
        <v>680.66</v>
      </c>
      <c r="C10" s="5" t="inlineStr">
        <is>
          <t>Agregador citando Morningstar/Investing.com</t>
        </is>
      </c>
      <c r="D10" s="5" t="inlineStr">
        <is>
          <t>2026-08-27</t>
        </is>
      </c>
    </row>
    <row r="11">
      <c r="A11" s="5" t="inlineStr">
        <is>
          <t>Rango 52 semanas — máximo (USD)</t>
        </is>
      </c>
      <c r="B11" s="7" t="n">
        <v>842.27</v>
      </c>
      <c r="C11" s="5" t="inlineStr">
        <is>
          <t>Agregador citando Morningstar/Investing.com</t>
        </is>
      </c>
      <c r="D11" s="5" t="inlineStr">
        <is>
          <t>2026-08-27</t>
        </is>
      </c>
    </row>
    <row r="12">
      <c r="A12" s="5" t="inlineStr">
        <is>
          <t>Rentabilidad YTD 2026 (NAV, total return)</t>
        </is>
      </c>
      <c r="B12" s="8" t="n">
        <v>0.1362</v>
      </c>
      <c r="C12" s="5" t="inlineStr">
        <is>
          <t>Agregador citando Investing.com/Morningstar</t>
        </is>
      </c>
      <c r="D12" s="5" t="inlineStr">
        <is>
          <t>2026-08-27</t>
        </is>
      </c>
    </row>
    <row r="13">
      <c r="A13" s="5" t="inlineStr">
        <is>
          <t>TER (comisión de gestión anual)</t>
        </is>
      </c>
      <c r="B13" s="8" t="n">
        <v>0.0007</v>
      </c>
      <c r="C13" s="5" t="inlineStr">
        <is>
          <t>justETF / BlackRock factsheet</t>
        </is>
      </c>
      <c r="D13" s="5" t="inlineStr">
        <is>
          <t>2026-08</t>
        </is>
      </c>
    </row>
    <row r="14">
      <c r="A14" s="5" t="inlineStr">
        <is>
          <t>AUM — ficha justETF (EUR)</t>
        </is>
      </c>
      <c r="B14" s="9" t="n">
        <v>134112000000</v>
      </c>
      <c r="C14" s="5" t="inlineStr">
        <is>
          <t>justETF</t>
        </is>
      </c>
      <c r="D14" s="5" t="inlineStr">
        <is>
          <t>2026-08</t>
        </is>
      </c>
    </row>
    <row r="15">
      <c r="A15" s="5" t="inlineStr">
        <is>
          <t>AUM — agregador (USD)</t>
        </is>
      </c>
      <c r="B15" s="9" t="n">
        <v>150860000000</v>
      </c>
      <c r="C15" s="5" t="inlineStr">
        <is>
          <t>MSN Money</t>
        </is>
      </c>
      <c r="D15" s="5" t="inlineStr">
        <is>
          <t>2026-08-20</t>
        </is>
      </c>
    </row>
    <row r="16">
      <c r="A16" s="5" t="inlineStr">
        <is>
          <t>AUM — agregador citando factsheet BlackRock (USD)</t>
        </is>
      </c>
      <c r="B16" s="9" t="n">
        <v>160552500000</v>
      </c>
      <c r="C16" s="5" t="inlineStr">
        <is>
          <t>Agregador citando factsheet iShares/BlackRock</t>
        </is>
      </c>
      <c r="D16" s="5" t="inlineStr">
        <is>
          <t>2026-08-14</t>
        </is>
      </c>
    </row>
    <row r="17">
      <c r="A17" s="5" t="inlineStr">
        <is>
          <t>EUR/USD (tipo de cambio de referencia)</t>
        </is>
      </c>
      <c r="B17" s="7" t="n">
        <v>1.1643</v>
      </c>
      <c r="C17" s="5" t="inlineStr">
        <is>
          <t>Banco Central Europeo (BCE), eurofxref</t>
        </is>
      </c>
      <c r="D17" s="5" t="inlineStr">
        <is>
          <t>2026-08-28</t>
        </is>
      </c>
    </row>
    <row r="18">
      <c r="A18" s="5" t="inlineStr">
        <is>
          <t>Método de réplica</t>
        </is>
      </c>
      <c r="B18" s="6" t="inlineStr">
        <is>
          <t>Física, completa</t>
        </is>
      </c>
      <c r="C18" s="5" t="inlineStr">
        <is>
          <t>justETF</t>
        </is>
      </c>
      <c r="D18" s="5" t="inlineStr">
        <is>
          <t>2026-07</t>
        </is>
      </c>
    </row>
    <row r="19">
      <c r="A19" s="5" t="inlineStr">
        <is>
          <t>Divisa base del fondo</t>
        </is>
      </c>
      <c r="B19" s="6" t="inlineStr">
        <is>
          <t>USD</t>
        </is>
      </c>
      <c r="C19" s="5" t="inlineStr">
        <is>
          <t>justETF / BlackRock</t>
        </is>
      </c>
      <c r="D19" s="5" t="inlineStr">
        <is>
          <t>2026-07</t>
        </is>
      </c>
    </row>
    <row r="20">
      <c r="A20" s="5" t="inlineStr">
        <is>
          <t>Tipo de reparto</t>
        </is>
      </c>
      <c r="B20" s="6" t="inlineStr">
        <is>
          <t>Acumulación (Acc)</t>
        </is>
      </c>
      <c r="C20" s="5" t="inlineStr">
        <is>
          <t>justETF / BlackRock</t>
        </is>
      </c>
      <c r="D20" s="5" t="inlineStr">
        <is>
          <t>2026-07</t>
        </is>
      </c>
    </row>
    <row r="22" ht="40" customHeight="1">
      <c r="A22" s="10" t="inlineStr">
        <is>
          <t>Nota: existe discrepancia de AUM entre proveedores (EUR vs. USD, distinta fecha de corte, fondo completo vs. clase de acción). No se pudo aislar una cifra única 'oficial' verificada de forma independiente en esta consulta (bloqueos de acceso directo a ishares.com/justetf.com/blackrock.com). Ver ficha .md, nota metodológica.</t>
        </is>
      </c>
    </row>
  </sheetData>
  <mergeCells count="2">
    <mergeCell ref="A22:D22"/>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2" customWidth="1" min="1" max="1"/>
    <col width="20" customWidth="1" min="2" max="2"/>
    <col width="30" customWidth="1" min="3" max="3"/>
    <col width="26" customWidth="1" min="4" max="4"/>
    <col width="38" customWidth="1" min="5" max="5"/>
    <col width="16" customWidth="1" min="6" max="6"/>
  </cols>
  <sheetData>
    <row r="1">
      <c r="A1" s="1" t="inlineStr">
        <is>
          <t>CSPX — Histórico anual de rentabilidad (foco: últimos 4-5 años, 2021-2026 YTD)</t>
        </is>
      </c>
    </row>
    <row r="2" ht="55" customHeight="1">
      <c r="A2" s="3" t="inlineStr">
        <is>
          <t>Rentabilidad anual: dato de fuente (total return USD, dividendos reinvertidos, clase Acc). Índice acumulado: fórmula derivada de la rentabilidad anual, base 100 = cierre de 2021. NAV aprox. implícito: cálculo propio retroactivo a partir del NAV verificado más reciente (831.12 USD, 28-ago-2026) y el índice acumulado; NO es un precio de cierre de bolsa verificado para años anteriores a 2026. 2022-2025 son los 'últimos 4 años' que pidió el analista; 2021 se añade solo como año base del índice y 2026 como año en curso (YTD).</t>
        </is>
      </c>
    </row>
    <row r="4">
      <c r="A4" s="4" t="inlineStr">
        <is>
          <t>Año</t>
        </is>
      </c>
      <c r="B4" s="4" t="inlineStr">
        <is>
          <t>Rentabilidad anual (%)</t>
        </is>
      </c>
      <c r="C4" s="4" t="inlineStr">
        <is>
          <t>Índice acumulado (base 100 = cierre 2021)</t>
        </is>
      </c>
      <c r="D4" s="4" t="inlineStr">
        <is>
          <t>NAV aprox. implícito (USD, calculado)</t>
        </is>
      </c>
      <c r="E4" s="4" t="inlineStr">
        <is>
          <t>Fuente rentabilidad</t>
        </is>
      </c>
      <c r="F4" s="4" t="inlineStr">
        <is>
          <t>Fecha de consulta</t>
        </is>
      </c>
    </row>
    <row r="5">
      <c r="A5" s="5" t="inlineStr">
        <is>
          <t>2021</t>
        </is>
      </c>
      <c r="B5" s="8" t="n">
        <v>0.2984</v>
      </c>
      <c r="C5" s="11" t="n">
        <v>100</v>
      </c>
      <c r="D5" s="12">
        <f>ROUND($D$10*C5/$C$10,2)</f>
        <v/>
      </c>
      <c r="E5" s="5" t="inlineStr">
        <is>
          <t>Yahoo Finance / Morningstar (vía ficha 2026-07-24)</t>
        </is>
      </c>
      <c r="F5" s="5" t="inlineStr">
        <is>
          <t>2026-07-24</t>
        </is>
      </c>
    </row>
    <row r="6">
      <c r="A6" s="5" t="inlineStr">
        <is>
          <t>2022</t>
        </is>
      </c>
      <c r="B6" s="8" t="n">
        <v>-0.1932</v>
      </c>
      <c r="C6" s="11">
        <f>C5*(1+B6)</f>
        <v/>
      </c>
      <c r="D6" s="12">
        <f>ROUND($D$10*C6/$C$10,2)</f>
        <v/>
      </c>
      <c r="E6" s="5" t="inlineStr">
        <is>
          <t>Yahoo Finance / Morningstar (vía ficha 2026-07-24)</t>
        </is>
      </c>
      <c r="F6" s="5" t="inlineStr">
        <is>
          <t>2026-07-24</t>
        </is>
      </c>
    </row>
    <row r="7">
      <c r="A7" s="5" t="inlineStr">
        <is>
          <t>2023</t>
        </is>
      </c>
      <c r="B7" s="8" t="n">
        <v>0.2612</v>
      </c>
      <c r="C7" s="11">
        <f>C6*(1+B7)</f>
        <v/>
      </c>
      <c r="D7" s="12">
        <f>ROUND($D$10*C7/$C$10,2)</f>
        <v/>
      </c>
      <c r="E7" s="5" t="inlineStr">
        <is>
          <t>Yahoo Finance / Morningstar (vía ficha 2026-07-24)</t>
        </is>
      </c>
      <c r="F7" s="5" t="inlineStr">
        <is>
          <t>2026-07-24</t>
        </is>
      </c>
    </row>
    <row r="8">
      <c r="A8" s="5" t="inlineStr">
        <is>
          <t>2024</t>
        </is>
      </c>
      <c r="B8" s="8" t="n">
        <v>0.2573</v>
      </c>
      <c r="C8" s="11">
        <f>C7*(1+B8)</f>
        <v/>
      </c>
      <c r="D8" s="12">
        <f>ROUND($D$10*C8/$C$10,2)</f>
        <v/>
      </c>
      <c r="E8" s="5" t="inlineStr">
        <is>
          <t>Yahoo Finance / Morningstar (vía ficha 2026-07-24)</t>
        </is>
      </c>
      <c r="F8" s="5" t="inlineStr">
        <is>
          <t>2026-07-24</t>
        </is>
      </c>
    </row>
    <row r="9">
      <c r="A9" s="5" t="inlineStr">
        <is>
          <t>2025</t>
        </is>
      </c>
      <c r="B9" s="8" t="n">
        <v>0.1805</v>
      </c>
      <c r="C9" s="11">
        <f>C8*(1+B9)</f>
        <v/>
      </c>
      <c r="D9" s="12">
        <f>ROUND($D$10*C9/$C$10,2)</f>
        <v/>
      </c>
      <c r="E9" s="5" t="inlineStr">
        <is>
          <t>Yahoo Finance / Morningstar (vía ficha 2026-07-24)</t>
        </is>
      </c>
      <c r="F9" s="5" t="inlineStr">
        <is>
          <t>2026-07-24</t>
        </is>
      </c>
    </row>
    <row r="10">
      <c r="A10" s="5" t="inlineStr">
        <is>
          <t>2026 (YTD, al 27-ago)</t>
        </is>
      </c>
      <c r="B10" s="8" t="n">
        <v>0.1362</v>
      </c>
      <c r="C10" s="11">
        <f>C9*(1+B10)</f>
        <v/>
      </c>
      <c r="D10" s="13" t="n">
        <v>831.12</v>
      </c>
      <c r="E10" s="5" t="inlineStr">
        <is>
          <t>Agregador citando Investing.com/Morningstar</t>
        </is>
      </c>
      <c r="F10" s="5" t="inlineStr">
        <is>
          <t>2026-08-27</t>
        </is>
      </c>
    </row>
    <row r="12" ht="50" customHeight="1">
      <c r="A12" s="10" t="inlineStr">
        <is>
          <t>Nota de integridad: el NAV de 831.12 USD (28-ago-2026, celda D10) es el único dato de precio verificado directamente en esta ficha; el resto de la columna 'NAV aprox. implícito' son valores CALCULADOS hacia atrás a partir de ese dato y de las rentabilidades anuales verificadas, no cotizaciones de cierre de bolsa verificadas para cada año. Ver ficha .md para el histórico ampliado 2019-2021 y los máximos/mínimos del índice S&amp;P 500 subyacente por año.</t>
        </is>
      </c>
    </row>
  </sheetData>
  <mergeCells count="3">
    <mergeCell ref="A2:F2"/>
    <mergeCell ref="A1:F1"/>
    <mergeCell ref="A12:F1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14" customWidth="1" min="2" max="2"/>
    <col width="14" customWidth="1" min="3" max="3"/>
    <col width="16" customWidth="1" min="4" max="4"/>
    <col width="70" customWidth="1" min="5" max="5"/>
  </cols>
  <sheetData>
    <row r="1">
      <c r="A1" s="1" t="inlineStr">
        <is>
          <t>Pronóstico a 6 meses (31-ago-2026 → ~28-feb-2027) — escenarios</t>
        </is>
      </c>
    </row>
    <row r="2" ht="40" customHeight="1">
      <c r="A2" s="3" t="inlineStr">
        <is>
          <t>PROYECCIÓN EDUCATIVA DEL ANALISTA, NO ES UN HECHO NI ASESORÍA FINANCIERA. Rango en USD, sin efecto de divisa (CSPX no cubre el riesgo EUR/USD, GBP/USD, USD/CHF). Supuestos y catalizadores completos (reunión Fed 16-sep-2026, reunión BCE 10-sep-2026, guerra EE.UU./Israel-Irán y estrecho de Ormuz) en la ficha .md.</t>
        </is>
      </c>
    </row>
    <row r="4">
      <c r="A4" s="4" t="inlineStr">
        <is>
          <t>Escenario</t>
        </is>
      </c>
      <c r="B4" s="4" t="inlineStr">
        <is>
          <t>Mínimo (%)</t>
        </is>
      </c>
      <c r="C4" s="4" t="inlineStr">
        <is>
          <t>Máximo (%)</t>
        </is>
      </c>
      <c r="D4" s="4" t="inlineStr">
        <is>
          <t>Punto medio (%)</t>
        </is>
      </c>
      <c r="E4" s="4" t="inlineStr">
        <is>
          <t>Supuesto clave</t>
        </is>
      </c>
    </row>
    <row r="5" ht="60" customHeight="1">
      <c r="A5" s="5" t="inlineStr">
        <is>
          <t>Alcista</t>
        </is>
      </c>
      <c r="B5" s="14" t="n">
        <v>0.06</v>
      </c>
      <c r="C5" s="14" t="n">
        <v>0.12</v>
      </c>
      <c r="D5" s="15">
        <f>AVERAGE(B5:C5)</f>
        <v/>
      </c>
      <c r="E5" s="16" t="inlineStr">
        <is>
          <t>Fed sin subidas (o solo +25pb con tono conciliador) el 16-sep pese al ~62% de mercado; desescalada Irán/Ormuz y retroceso del Brent; BCE sube a 2.50% sin sorpresas; resultados Q3 de las 'Siete Magníficas' confirman retorno del capex en IA.</t>
        </is>
      </c>
    </row>
    <row r="6" ht="60" customHeight="1">
      <c r="A6" s="5" t="inlineStr">
        <is>
          <t>Base</t>
        </is>
      </c>
      <c r="B6" s="14" t="n">
        <v>-0.03</v>
      </c>
      <c r="C6" s="14" t="n">
        <v>0.06</v>
      </c>
      <c r="D6" s="15">
        <f>AVERAGE(B6:C6)</f>
        <v/>
      </c>
      <c r="E6" s="16" t="inlineStr">
        <is>
          <t>Fed sube 25pb en septiembre (en línea con mercado) y BCE también a 2.50%; conflicto con Irán en patrón de escaladas y treguas parciales sin cierre prolongado de Ormuz; mercado consolida cerca de máximos con volatilidad puntual.</t>
        </is>
      </c>
    </row>
    <row r="7" ht="60" customHeight="1">
      <c r="A7" s="5" t="inlineStr">
        <is>
          <t>Bajista</t>
        </is>
      </c>
      <c r="B7" s="14" t="n">
        <v>-0.18</v>
      </c>
      <c r="C7" s="14" t="n">
        <v>-0.06</v>
      </c>
      <c r="D7" s="15">
        <f>AVERAGE(B7:C7)</f>
        <v/>
      </c>
      <c r="E7" s="16" t="inlineStr">
        <is>
          <t>Agravamiento serio del conflicto EE.UU./Israel-Irán con nuevo cierre efectivo del estrecho de Ormuz (Brent &gt;120-150 USD/barril); Fed y BCE endurecen más de lo esperado (riesgo de estanflación); corrección en 'Siete Magníficas' por dudas de capex en IA.</t>
        </is>
      </c>
    </row>
  </sheetData>
  <mergeCells count="2">
    <mergeCell ref="A2:E2"/>
    <mergeCell ref="A1:E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Fuentes consultadas (resumen — ver ficha .md para el listado completo con notas de transparencia)</t>
        </is>
      </c>
    </row>
    <row r="2"/>
    <row r="3">
      <c r="A3" s="17" t="inlineStr">
        <is>
          <t>Ficha .md de este mismo informe — bolsas/europa/investigacion-activos/2026-08-31-cspx-informe-historico-pronostico.md — 2026-08-31</t>
        </is>
      </c>
    </row>
    <row r="4">
      <c r="A4" s="17" t="inlineStr">
        <is>
          <t>Ficha previa del repositorio — bolsas/europa/investigacion-activos/2026-07-24-cspx-ishares-sp500-analisis.md — 2026-07-24</t>
        </is>
      </c>
    </row>
    <row r="5">
      <c r="A5" s="17" t="inlineStr">
        <is>
          <t>Ficha previa del repositorio — bolsas/europa/investigacion-activos/2026-08-30-cspx-actualizacion.md — 2026-08-30</t>
        </is>
      </c>
    </row>
    <row r="6">
      <c r="A6" s="17" t="inlineStr">
        <is>
          <t>Agregador de búsqueda citando Investing.com / Morningstar — NAV, precio, rango 52 semanas, YTD — 2026-08-27/28</t>
        </is>
      </c>
    </row>
    <row r="7">
      <c r="A7" s="17" t="inlineStr">
        <is>
          <t>justETF — ficha de producto IE00B5BMR087 (AUM, TER) — justetf.com — 2026-08</t>
        </is>
      </c>
    </row>
    <row r="8">
      <c r="A8" s="17" t="inlineStr">
        <is>
          <t>MSN Money — AUM del fondo — 2026-08-20</t>
        </is>
      </c>
    </row>
    <row r="9">
      <c r="A9" s="17" t="inlineStr">
        <is>
          <t>Agregador citando factsheet iShares/BlackRock — AUM del fondo — 2026-08-14</t>
        </is>
      </c>
    </row>
    <row r="10">
      <c r="A10" s="17" t="inlineStr">
        <is>
          <t>Banco Central Europeo (BCE) — eurofxref y comunicados de política monetaria (11-jun-2026, 23-jul-2026) — ecb.europa.eu</t>
        </is>
      </c>
    </row>
    <row r="11">
      <c r="A11" s="17" t="inlineStr">
        <is>
          <t>CNBC / Bloomberg / Euronews / Infobae — cobertura Fed, BCE, guerra EE.UU./Israel-Irán, aranceles UE-EE.UU. — consultado 2026-08-31</t>
        </is>
      </c>
    </row>
    <row r="12">
      <c r="A12" s="17" t="inlineStr">
        <is>
          <t>The Motley Fool — máximos históricos del S&amp;P 500 en 2026 — 2026-08-26</t>
        </is>
      </c>
    </row>
    <row r="13">
      <c r="A13" s="17" t="inlineStr">
        <is>
          <t>Congress.gov (CRS) — impacto del estrecho de Ormuz en mercados de petróleo — consultado 2026-08-31</t>
        </is>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2026-08-31T14:13:26Z</dcterms:created>
  <dcterms:modified xsi:type="dcterms:W3CDTF">2026-08-31T14:13:26Z</dcterms:modified>
</cp:coreProperties>
</file>