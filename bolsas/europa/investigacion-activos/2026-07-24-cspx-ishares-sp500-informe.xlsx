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istorico_Anual" sheetId="2" state="visible" r:id="rId4"/>
    <sheet name="Pronostico_6M" sheetId="3" state="visible" r:id="rId5"/>
    <sheet name="Fue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<sst xmlns="http://schemas.openxmlformats.org/spreadsheetml/2006/main" count="117" uniqueCount="98">
  <si>
    <t xml:space="preserve">CSPX — iShares Core S&amp;P 500 UCITS ETF (Acc)</t>
  </si>
  <si>
    <t xml:space="preserve">Histórico 7 años (2019–2026 YTD) y pronóstico ilustrativo a 6 meses · Fecha de corte: julio de 2026</t>
  </si>
  <si>
    <t xml:space="preserve">Fuente completa y metodología: bolsas/europa/investigacion-activos/2026-07-24-cspx-ishares-sp500-analisis.md. El pronóstico es una proyección educativa del analista, no una predicción garantizada ni asesoría financiera.</t>
  </si>
  <si>
    <t xml:space="preserve">KPI</t>
  </si>
  <si>
    <t xml:space="preserve">Valor</t>
  </si>
  <si>
    <t xml:space="preserve">Fuente</t>
  </si>
  <si>
    <t xml:space="preserve">Fecha</t>
  </si>
  <si>
    <t xml:space="preserve">Precio / NAV aprox. (CSPX, LSE, USD)</t>
  </si>
  <si>
    <t xml:space="preserve">~810 USD</t>
  </si>
  <si>
    <t xml:space="preserve">Investing.com / StockAnalysis.com</t>
  </si>
  <si>
    <t xml:space="preserve">2026-07-13 a 2026-07-17</t>
  </si>
  <si>
    <t xml:space="preserve">Rango 52 semanas (USD)</t>
  </si>
  <si>
    <t xml:space="preserve">634.67 – 819.73</t>
  </si>
  <si>
    <t xml:space="preserve">StockAnalysis.com</t>
  </si>
  <si>
    <t xml:space="preserve">2026-07-13</t>
  </si>
  <si>
    <t xml:space="preserve">AUM fondo completo</t>
  </si>
  <si>
    <t xml:space="preserve">~130,917 M EUR</t>
  </si>
  <si>
    <t xml:space="preserve">justETF</t>
  </si>
  <si>
    <t xml:space="preserve">2026-07</t>
  </si>
  <si>
    <t xml:space="preserve">AUM clase USD (fondo total)</t>
  </si>
  <si>
    <t xml:space="preserve">134,330.66 M USD (138,397.44 M USD total)</t>
  </si>
  <si>
    <t xml:space="preserve">BlackRock / iShares factsheet</t>
  </si>
  <si>
    <t xml:space="preserve">~fin de 2025</t>
  </si>
  <si>
    <t xml:space="preserve">TER (comisión total)</t>
  </si>
  <si>
    <t xml:space="preserve">justETF / BlackRock / StockAnalysis.com</t>
  </si>
  <si>
    <t xml:space="preserve">Método de réplica</t>
  </si>
  <si>
    <t xml:space="preserve">Física, completa</t>
  </si>
  <si>
    <t xml:space="preserve">Divisa base del fondo</t>
  </si>
  <si>
    <t xml:space="preserve">USD</t>
  </si>
  <si>
    <t xml:space="preserve">justETF / BlackRock</t>
  </si>
  <si>
    <t xml:space="preserve">Tipo de reparto</t>
  </si>
  <si>
    <t xml:space="preserve">Acumulación (Acc)</t>
  </si>
  <si>
    <t xml:space="preserve">ISIN</t>
  </si>
  <si>
    <t xml:space="preserve">IE00B5BMR087</t>
  </si>
  <si>
    <t xml:space="preserve">Fecha de lanzamiento</t>
  </si>
  <si>
    <t xml:space="preserve">2010-05-19</t>
  </si>
  <si>
    <t xml:space="preserve">P/E de la cartera</t>
  </si>
  <si>
    <t xml:space="preserve">Agregador de mercado (fecha exacta no verificada)</t>
  </si>
  <si>
    <t xml:space="preserve">~2026-07</t>
  </si>
  <si>
    <t xml:space="preserve">Rentabilidad YTD 2026 (CSPX)</t>
  </si>
  <si>
    <t xml:space="preserve">PortfoliosLab</t>
  </si>
  <si>
    <t xml:space="preserve">2026-07-24</t>
  </si>
  <si>
    <t xml:space="preserve">Rentabilidad YTD 2026 (índice S&amp;P 500, ref.)</t>
  </si>
  <si>
    <t xml:space="preserve">Slickcharts</t>
  </si>
  <si>
    <t xml:space="preserve">2026-07-17</t>
  </si>
  <si>
    <t xml:space="preserve">Rentabilidad anualizada 10 años (CSPX.L)</t>
  </si>
  <si>
    <t xml:space="preserve">Rentabilidad media anual desde lanzamiento</t>
  </si>
  <si>
    <t xml:space="preserve">Anualizada 3 años 2023-2025 (cálculo propio)</t>
  </si>
  <si>
    <t xml:space="preserve">Cálculo propio sobre rentabilidades anuales citadas</t>
  </si>
  <si>
    <t xml:space="preserve">Anualizada 5 años 2021-2025 (cálculo propio)</t>
  </si>
  <si>
    <t xml:space="preserve">Volatilidad anualizada específica de CSPX</t>
  </si>
  <si>
    <t xml:space="preserve">Dato no verificado</t>
  </si>
  <si>
    <t xml:space="preserve">PortfoliosLab (cifras encontradas no eran comparables)</t>
  </si>
  <si>
    <t xml:space="preserve">Nota: cifras con "dato no verificado" o "cálculo propio" se detallan en la ficha .md. Ninguna cifra se ha inventado.</t>
  </si>
  <si>
    <t xml:space="preserve">Histórico anual CSPX — rentabilidad y crecimiento acumulado</t>
  </si>
  <si>
    <t xml:space="preserve">Rentabilidad anual: dato de fuente (total return USD, clase Acc). Índice acumulado y precio/NAV calculado: fórmulas derivadas de la rentabilidad anual, base 100 en el cierre de 2019. Ver ficha .md para fuentes exactas de cada rentabilidad anual.</t>
  </si>
  <si>
    <t xml:space="preserve">Año</t>
  </si>
  <si>
    <t xml:space="preserve">Rentabilidad anual (%)</t>
  </si>
  <si>
    <t xml:space="preserve">Índice acumulado (base 100 = 2019)</t>
  </si>
  <si>
    <t xml:space="preserve">Precio/NAV aprox. calculado (USD)</t>
  </si>
  <si>
    <t xml:space="preserve">Máximo índice S&amp;P 500 (ref.)</t>
  </si>
  <si>
    <t xml:space="preserve">Mínimo índice S&amp;P 500 (ref.)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</si>
  <si>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</si>
  <si>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</si>
  <si>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</si>
  <si>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</si>
  <si>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</si>
  <si>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</si>
  <si>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no verificado</t>
  </si>
  <si>
    <t xml:space="preserve">2025</t>
  </si>
  <si>
    <t xml:space="preserve">2026 (YTD)</t>
  </si>
  <si>
    <t xml:space="preserve">Precio/NAV de 2019 (311 USD) es un valor calculado retroactivamente desde el precio observado en jul-2026 (~810 USD, no un cierre de bolsa verificado). Máximos/mínimos 2024 y 2026 parcialmente no verificados con precisión.</t>
  </si>
  <si>
    <t xml:space="preserve">Pronóstico a 6 meses (24-jul-2026 → ~24-ene-2027) — escenarios</t>
  </si>
  <si>
    <t xml:space="preserve">PROYECCIÓN EDUCATIVA DEL ANALISTA, NO UN HECHO NI ASESORÍA FINANCIERA. Rango en USD, sin efecto de divisa. Supuestos y catalizadores completos en la ficha .md.</t>
  </si>
  <si>
    <t xml:space="preserve">Escenario</t>
  </si>
  <si>
    <t xml:space="preserve">Mínimo (%)</t>
  </si>
  <si>
    <t xml:space="preserve">Máximo (%)</t>
  </si>
  <si>
    <t xml:space="preserve">Punto medio (%)</t>
  </si>
  <si>
    <t xml:space="preserve">Supuesto clave</t>
  </si>
  <si>
    <t xml:space="preserve">Alcista</t>
  </si>
  <si>
    <t xml:space="preserve">Fed sin subidas y retoma de recortes; distensión arancelaria UE-EE.UU.; capex de IA sigue sorprendiendo al alza</t>
  </si>
  <si>
    <t xml:space="preserve">Base</t>
  </si>
  <si>
    <t xml:space="preserve">Continuidad del patrón 2023-2026: Fed estable en 3.50%-3.75%, ciclo de IA sostenido, volatilidad puntual por titulares arancelarios</t>
  </si>
  <si>
    <t xml:space="preserve">Bajista</t>
  </si>
  <si>
    <t xml:space="preserve">Fed sube tasas por inflación persistente; escalada arancelaria UE-EE.UU.; corrección en "Siete Magníficas" por dudas de capex en IA</t>
  </si>
  <si>
    <t xml:space="preserve">Fuentes consultadas</t>
  </si>
  <si>
    <t xml:space="preserve">BlackRock / iShares — ficha de producto y factsheet de CSPX — ishares.com, blackrock.com — 2026-07-24</t>
  </si>
  <si>
    <t xml:space="preserve">justETF — ficha de producto IE00B5BMR087 — justetf.com — 2026-07-24</t>
  </si>
  <si>
    <t xml:space="preserve">Yahoo Finance — cotización e histórico CSPX.L / CSPX.AS / SXR8.DE — finance.yahoo.com — 2026-07-24</t>
  </si>
  <si>
    <t xml:space="preserve">Morningstar — página de performance CSPX (XLON) — morningstar.com — 2026-07-24</t>
  </si>
  <si>
    <t xml:space="preserve">Investing.com — cotización e histórico CSPX — investing.com — 2026-07-24</t>
  </si>
  <si>
    <t xml:space="preserve">PortfoliosLab — métricas de rentabilidad/volatilidad CSPX.L — portfolioslab.com — 2026-07-24</t>
  </si>
  <si>
    <t xml:space="preserve">StockAnalysis.com — cotización y ratios (P/E) — stockanalysis.com — 2026-07-24</t>
  </si>
  <si>
    <t xml:space="preserve">Banco Central Europeo (BCE) — comunicado de política monetaria y tipos eurofxref — ecb.europa.eu — 2026-07-24</t>
  </si>
  <si>
    <t xml:space="preserve">Reuters / Bloomberg / CNBC / Financial Times / NPR / The Motley Fool — cobertura Fed, aranceles, mercado — 2026-07-24</t>
  </si>
  <si>
    <t xml:space="preserve">El País / agendapublica.es — estado guerra en Ucrania 2026 — 2026-07-24</t>
  </si>
  <si>
    <t xml:space="preserve">Goldman Sachs Research (vía Investing.com) — capex de IA de "hyperscalers" 2026 — 2026-07-24</t>
  </si>
  <si>
    <t xml:space="preserve">Congress.gov (CRS), Forbes Advisor, Bankrate, TheStreet — historial de tasas de la Fed 2022-2026 — 2026-07-24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</si>
</sst>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"/>
    <numFmt numFmtId="167" formatCode="0%"/>
    <numFmt numFmtId="168" formatCode="0.0"/>
    <numFmt numFmtId="169" formatCode="0.0%"/>
    <numFmt numFmtId="170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9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i val="true"/>
      <sz val="9"/>
      <color rgb="FF89878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03B3B"/>
      <name val="Arial"/>
      <family val="0"/>
      <charset val="1"/>
    </font>
    <font>
      <i val="true"/>
      <sz val="11"/>
      <color rgb="FF898781"/>
      <name val="Arial"/>
      <family val="0"/>
      <charset val="1"/>
    </font>
    <font>
      <b val="true"/>
      <i val="true"/>
      <sz val="9"/>
      <color rgb="FFD03B3B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A1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C3C2B7"/>
      <rgbColor rgb="FF878787"/>
      <rgbColor rgb="FF9999FF"/>
      <rgbColor rgb="FFD03B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A100"/>
      <rgbColor rgb="FFFF6600"/>
      <rgbColor rgb="FF666699"/>
      <rgbColor rgb="FF898781"/>
      <rgbColor rgb="FF003366"/>
      <rgbColor rgb="FF339966"/>
      <rgbColor rgb="FF003300"/>
      <rgbColor rgb="FF1A1A19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Rentabilidad anual (%) — CSPX 2019-2026 YTD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Historico_Anual!B4</c:f>
              <c:strCache>
                <c:ptCount val="1"/>
                <c:pt idx="0">
                  <c:v>Rentabilidad anual (%)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Historico_Anual!$A$5:$A$12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 (YTD)</c:v>
                </c:pt>
              </c:strCache>
            </c:strRef>
          </c:cat>
          <c:val>
            <c:numRef>
              <c:f>Historico_Anual!$B$5:$B$12</c:f>
              <c:numCache>
                <c:formatCode>0.00%</c:formatCode>
                <c:ptCount val="8"/>
                <c:pt idx="0">
                  <c:v>0.3181</c:v>
                </c:pt>
                <c:pt idx="1">
                  <c:v>0.1786</c:v>
                </c:pt>
                <c:pt idx="2">
                  <c:v>0.2984</c:v>
                </c:pt>
                <c:pt idx="3">
                  <c:v>-0.1932</c:v>
                </c:pt>
                <c:pt idx="4">
                  <c:v>0.2612</c:v>
                </c:pt>
                <c:pt idx="5">
                  <c:v>0.2573</c:v>
                </c:pt>
                <c:pt idx="6">
                  <c:v>0.1805</c:v>
                </c:pt>
                <c:pt idx="7">
                  <c:v>0.1283</c:v>
                </c:pt>
              </c:numCache>
            </c:numRef>
          </c:val>
        </c:ser>
        <c:gapWidth val="150"/>
        <c:overlap val="0"/>
        <c:axId val="89746119"/>
        <c:axId val="50293051"/>
      </c:barChart>
      <c:catAx>
        <c:axId val="89746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93051"/>
        <c:crosses val="autoZero"/>
        <c:auto val="1"/>
        <c:lblAlgn val="ctr"/>
        <c:lblOffset val="100"/>
        <c:noMultiLvlLbl val="0"/>
      </c:catAx>
      <c:valAx>
        <c:axId val="50293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461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acumulado (base 100 = 2019)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Historico_Anual!C4</c:f>
              <c:strCache>
                <c:ptCount val="1"/>
                <c:pt idx="0">
                  <c:v>Índice acumulado (base 100 = 2019)</c:v>
                </c:pt>
              </c:strCache>
            </c:strRef>
          </c:tx>
          <c:spPr>
            <a:solidFill>
              <a:srgbClr val="eda100"/>
            </a:solidFill>
            <a:ln w="20160">
              <a:solidFill>
                <a:srgbClr val="eda100"/>
              </a:solidFill>
              <a:round/>
            </a:ln>
          </c:spPr>
          <c:marker>
            <c:symbol val="circle"/>
            <c:size val="6"/>
            <c:spPr>
              <a:solidFill>
                <a:srgbClr val="eda1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Historico_Anual!$A$5:$A$12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 (YTD)</c:v>
                </c:pt>
              </c:strCache>
            </c:strRef>
          </c:cat>
          <c:val>
            <c:numRef>
              <c:f>Historico_Anual!$C$5:$C$12</c:f>
              <c:numCache>
                <c:formatCode>0.0</c:formatCode>
                <c:ptCount val="8"/>
                <c:pt idx="0">
                  <c:v>100</c:v>
                </c:pt>
                <c:pt idx="1">
                  <c:v>117.86</c:v>
                </c:pt>
                <c:pt idx="2">
                  <c:v>153.029424</c:v>
                </c:pt>
                <c:pt idx="3">
                  <c:v>123.4641392832</c:v>
                </c:pt>
                <c:pt idx="4">
                  <c:v>155.712972463972</c:v>
                </c:pt>
                <c:pt idx="5">
                  <c:v>195.777920278952</c:v>
                </c:pt>
                <c:pt idx="6">
                  <c:v>231.115834889303</c:v>
                </c:pt>
                <c:pt idx="7">
                  <c:v>260.7679965056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444804"/>
        <c:axId val="96255561"/>
      </c:lineChart>
      <c:catAx>
        <c:axId val="50444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55561"/>
        <c:crosses val="autoZero"/>
        <c:auto val="1"/>
        <c:lblAlgn val="ctr"/>
        <c:lblOffset val="100"/>
        <c:noMultiLvlLbl val="0"/>
      </c:catAx>
      <c:valAx>
        <c:axId val="96255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44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Pronóstico a 6 meses — rango por escenario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Pronostico_6M!B4</c:f>
              <c:strCache>
                <c:ptCount val="1"/>
                <c:pt idx="0">
                  <c:v>Mínimo (%)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Pronostico_6M!$A$5:$A$7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Pronostico_6M!$B$5:$B$7</c:f>
              <c:numCache>
                <c:formatCode>0.0%</c:formatCode>
                <c:ptCount val="3"/>
                <c:pt idx="0">
                  <c:v>0.08</c:v>
                </c:pt>
                <c:pt idx="1">
                  <c:v>0</c:v>
                </c:pt>
                <c:pt idx="2">
                  <c:v>-0.15</c:v>
                </c:pt>
              </c:numCache>
            </c:numRef>
          </c:val>
        </c:ser>
        <c:ser>
          <c:idx val="1"/>
          <c:order val="1"/>
          <c:tx>
            <c:strRef>
              <c:f>Pronostico_6M!C4</c:f>
              <c:strCache>
                <c:ptCount val="1"/>
                <c:pt idx="0">
                  <c:v>Máximo (%)</c:v>
                </c:pt>
              </c:strCache>
            </c:strRef>
          </c:tx>
          <c:spPr>
            <a:solidFill>
              <a:srgbClr val="0ca30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Pronostico_6M!$A$5:$A$7</c:f>
              <c:strCache>
                <c:ptCount val="3"/>
                <c:pt idx="0">
                  <c:v>Alcista</c:v>
                </c:pt>
                <c:pt idx="1">
                  <c:v>Base</c:v>
                </c:pt>
                <c:pt idx="2">
                  <c:v>Bajista</c:v>
                </c:pt>
              </c:strCache>
            </c:strRef>
          </c:cat>
          <c:val>
            <c:numRef>
              <c:f>Pronostico_6M!$C$5:$C$7</c:f>
              <c:numCache>
                <c:formatCode>0.0%</c:formatCode>
                <c:ptCount val="3"/>
                <c:pt idx="0">
                  <c:v>0.15</c:v>
                </c:pt>
                <c:pt idx="1">
                  <c:v>0.08</c:v>
                </c:pt>
                <c:pt idx="2">
                  <c:v>-0.03</c:v>
                </c:pt>
              </c:numCache>
            </c:numRef>
          </c:val>
        </c:ser>
        <c:gapWidth val="150"/>
        <c:overlap val="0"/>
        <c:axId val="31760317"/>
        <c:axId val="20902095"/>
      </c:barChart>
      <c:catAx>
        <c:axId val="317603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Rentabilidad estimada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02095"/>
        <c:crosses val="autoZero"/>
        <c:auto val="1"/>
        <c:lblAlgn val="ctr"/>
        <c:lblOffset val="100"/>
        <c:noMultiLvlLbl val="0"/>
      </c:catAx>
      <c:valAx>
        <c:axId val="20902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60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97920</xdr:rowOff>
    </xdr:from>
    <xdr:to>
      <xdr:col>3</xdr:col>
      <xdr:colOff>603000</xdr:colOff>
      <xdr:row>30</xdr:row>
      <xdr:rowOff>52920</xdr:rowOff>
    </xdr:to>
    <xdr:graphicFrame>
      <xdr:nvGraphicFramePr>
        <xdr:cNvPr id="0" name="Chart 1"/>
        <xdr:cNvGraphicFramePr/>
      </xdr:nvGraphicFramePr>
      <xdr:xfrm>
        <a:off x="0" y="5060520"/>
        <a:ext cx="5759280" cy="285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97920</xdr:rowOff>
    </xdr:from>
    <xdr:to>
      <xdr:col>18</xdr:col>
      <xdr:colOff>447480</xdr:colOff>
      <xdr:row>30</xdr:row>
      <xdr:rowOff>52920</xdr:rowOff>
    </xdr:to>
    <xdr:graphicFrame>
      <xdr:nvGraphicFramePr>
        <xdr:cNvPr id="1" name="Chart 2"/>
        <xdr:cNvGraphicFramePr/>
      </xdr:nvGraphicFramePr>
      <xdr:xfrm>
        <a:off x="13655520" y="5060520"/>
        <a:ext cx="5759280" cy="285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30960</xdr:rowOff>
    </xdr:from>
    <xdr:to>
      <xdr:col>3</xdr:col>
      <xdr:colOff>603000</xdr:colOff>
      <xdr:row>47</xdr:row>
      <xdr:rowOff>52920</xdr:rowOff>
    </xdr:to>
    <xdr:graphicFrame>
      <xdr:nvGraphicFramePr>
        <xdr:cNvPr id="2" name="Chart 3"/>
        <xdr:cNvGraphicFramePr/>
      </xdr:nvGraphicFramePr>
      <xdr:xfrm>
        <a:off x="0" y="8269920"/>
        <a:ext cx="57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6"/>
      <c r="F5" s="6"/>
      <c r="G5" s="6"/>
      <c r="H5" s="6"/>
    </row>
    <row r="6" customFormat="false" ht="21.75" hidden="false" customHeight="true" outlineLevel="0" collapsed="false">
      <c r="A6" s="7" t="s">
        <v>7</v>
      </c>
      <c r="B6" s="8" t="s">
        <v>8</v>
      </c>
      <c r="C6" s="9" t="s">
        <v>9</v>
      </c>
      <c r="D6" s="9" t="s">
        <v>10</v>
      </c>
    </row>
    <row r="7" customFormat="false" ht="15" hidden="false" customHeight="true" outlineLevel="0" collapsed="false">
      <c r="A7" s="7" t="s">
        <v>11</v>
      </c>
      <c r="B7" s="8" t="s">
        <v>12</v>
      </c>
      <c r="C7" s="9" t="s">
        <v>13</v>
      </c>
      <c r="D7" s="9" t="s">
        <v>14</v>
      </c>
    </row>
    <row r="8" customFormat="false" ht="15" hidden="false" customHeight="true" outlineLevel="0" collapsed="false">
      <c r="A8" s="7" t="s">
        <v>15</v>
      </c>
      <c r="B8" s="8" t="s">
        <v>16</v>
      </c>
      <c r="C8" s="9" t="s">
        <v>17</v>
      </c>
      <c r="D8" s="9" t="s">
        <v>18</v>
      </c>
    </row>
    <row r="9" customFormat="false" ht="39" hidden="false" customHeight="true" outlineLevel="0" collapsed="false">
      <c r="A9" s="7" t="s">
        <v>19</v>
      </c>
      <c r="B9" s="8" t="s">
        <v>20</v>
      </c>
      <c r="C9" s="9" t="s">
        <v>21</v>
      </c>
      <c r="D9" s="9" t="s">
        <v>22</v>
      </c>
    </row>
    <row r="10" customFormat="false" ht="21.75" hidden="false" customHeight="true" outlineLevel="0" collapsed="false">
      <c r="A10" s="7" t="s">
        <v>23</v>
      </c>
      <c r="B10" s="10" t="n">
        <v>0.0007</v>
      </c>
      <c r="C10" s="9" t="s">
        <v>24</v>
      </c>
      <c r="D10" s="9" t="s">
        <v>18</v>
      </c>
    </row>
    <row r="11" customFormat="false" ht="15" hidden="false" customHeight="true" outlineLevel="0" collapsed="false">
      <c r="A11" s="7" t="s">
        <v>25</v>
      </c>
      <c r="B11" s="8" t="s">
        <v>26</v>
      </c>
      <c r="C11" s="9" t="s">
        <v>17</v>
      </c>
      <c r="D11" s="9" t="s">
        <v>18</v>
      </c>
    </row>
    <row r="12" customFormat="false" ht="15" hidden="false" customHeight="true" outlineLevel="0" collapsed="false">
      <c r="A12" s="7" t="s">
        <v>27</v>
      </c>
      <c r="B12" s="8" t="s">
        <v>28</v>
      </c>
      <c r="C12" s="9" t="s">
        <v>29</v>
      </c>
      <c r="D12" s="9" t="s">
        <v>18</v>
      </c>
    </row>
    <row r="13" customFormat="false" ht="26.25" hidden="false" customHeight="true" outlineLevel="0" collapsed="false">
      <c r="A13" s="7" t="s">
        <v>30</v>
      </c>
      <c r="B13" s="8" t="s">
        <v>31</v>
      </c>
      <c r="C13" s="9" t="s">
        <v>29</v>
      </c>
      <c r="D13" s="9" t="s">
        <v>18</v>
      </c>
    </row>
    <row r="14" customFormat="false" ht="15" hidden="false" customHeight="true" outlineLevel="0" collapsed="false">
      <c r="A14" s="7" t="s">
        <v>32</v>
      </c>
      <c r="B14" s="8" t="s">
        <v>33</v>
      </c>
      <c r="C14" s="9" t="s">
        <v>29</v>
      </c>
      <c r="D14" s="9" t="s">
        <v>18</v>
      </c>
    </row>
    <row r="15" customFormat="false" ht="15" hidden="false" customHeight="true" outlineLevel="0" collapsed="false">
      <c r="A15" s="7" t="s">
        <v>34</v>
      </c>
      <c r="B15" s="8" t="s">
        <v>35</v>
      </c>
      <c r="C15" s="9" t="s">
        <v>17</v>
      </c>
      <c r="D15" s="9" t="s">
        <v>18</v>
      </c>
    </row>
    <row r="16" customFormat="false" ht="32.25" hidden="false" customHeight="true" outlineLevel="0" collapsed="false">
      <c r="A16" s="7" t="s">
        <v>36</v>
      </c>
      <c r="B16" s="11" t="n">
        <v>21.06</v>
      </c>
      <c r="C16" s="9" t="s">
        <v>37</v>
      </c>
      <c r="D16" s="9" t="s">
        <v>38</v>
      </c>
    </row>
    <row r="17" customFormat="false" ht="15" hidden="false" customHeight="true" outlineLevel="0" collapsed="false">
      <c r="A17" s="7" t="s">
        <v>39</v>
      </c>
      <c r="B17" s="10" t="n">
        <v>0.1283</v>
      </c>
      <c r="C17" s="9" t="s">
        <v>40</v>
      </c>
      <c r="D17" s="9" t="s">
        <v>41</v>
      </c>
    </row>
    <row r="18" customFormat="false" ht="26.25" hidden="false" customHeight="true" outlineLevel="0" collapsed="false">
      <c r="A18" s="7" t="s">
        <v>42</v>
      </c>
      <c r="B18" s="10" t="n">
        <v>0.096</v>
      </c>
      <c r="C18" s="9" t="s">
        <v>43</v>
      </c>
      <c r="D18" s="9" t="s">
        <v>44</v>
      </c>
    </row>
    <row r="19" customFormat="false" ht="26.25" hidden="false" customHeight="true" outlineLevel="0" collapsed="false">
      <c r="A19" s="7" t="s">
        <v>45</v>
      </c>
      <c r="B19" s="10" t="n">
        <v>0.1384</v>
      </c>
      <c r="C19" s="9" t="s">
        <v>40</v>
      </c>
      <c r="D19" s="9" t="s">
        <v>41</v>
      </c>
    </row>
    <row r="20" customFormat="false" ht="26.25" hidden="false" customHeight="true" outlineLevel="0" collapsed="false">
      <c r="A20" s="7" t="s">
        <v>46</v>
      </c>
      <c r="B20" s="10" t="n">
        <v>0.1564</v>
      </c>
      <c r="C20" s="9" t="s">
        <v>40</v>
      </c>
      <c r="D20" s="9" t="s">
        <v>41</v>
      </c>
    </row>
    <row r="21" customFormat="false" ht="32.25" hidden="false" customHeight="true" outlineLevel="0" collapsed="false">
      <c r="A21" s="7" t="s">
        <v>47</v>
      </c>
      <c r="B21" s="10" t="n">
        <v>0.233</v>
      </c>
      <c r="C21" s="9" t="s">
        <v>48</v>
      </c>
      <c r="D21" s="9" t="s">
        <v>41</v>
      </c>
    </row>
    <row r="22" customFormat="false" ht="32.25" hidden="false" customHeight="true" outlineLevel="0" collapsed="false">
      <c r="A22" s="7" t="s">
        <v>49</v>
      </c>
      <c r="B22" s="10" t="n">
        <v>0.144</v>
      </c>
      <c r="C22" s="9" t="s">
        <v>48</v>
      </c>
      <c r="D22" s="9" t="s">
        <v>41</v>
      </c>
    </row>
    <row r="23" customFormat="false" ht="32.25" hidden="false" customHeight="true" outlineLevel="0" collapsed="false">
      <c r="A23" s="7" t="s">
        <v>50</v>
      </c>
      <c r="B23" s="8" t="s">
        <v>51</v>
      </c>
      <c r="C23" s="9" t="s">
        <v>52</v>
      </c>
      <c r="D23" s="9" t="s">
        <v>41</v>
      </c>
    </row>
    <row r="25" customFormat="false" ht="15" hidden="false" customHeight="true" outlineLevel="0" collapsed="false">
      <c r="A25" s="12" t="s">
        <v>53</v>
      </c>
      <c r="B25" s="12"/>
      <c r="C25" s="12"/>
      <c r="D25" s="12"/>
      <c r="E25" s="12"/>
      <c r="F25" s="12"/>
      <c r="G25" s="12"/>
      <c r="H25" s="12"/>
    </row>
  </sheetData>
  <mergeCells count="4">
    <mergeCell ref="A1:H1"/>
    <mergeCell ref="A2:H2"/>
    <mergeCell ref="A3:H3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6" min="5" style="1" width="24"/>
  </cols>
  <sheetData>
    <row r="1" customFormat="false" ht="19.5" hidden="false" customHeight="true" outlineLevel="0" collapsed="false">
      <c r="A1" s="2" t="s">
        <v>54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4" t="s">
        <v>55</v>
      </c>
      <c r="B2" s="4"/>
      <c r="C2" s="4"/>
      <c r="D2" s="4"/>
      <c r="E2" s="4"/>
      <c r="F2" s="4"/>
    </row>
    <row r="4" customFormat="false" ht="26.25" hidden="false" customHeight="true" outlineLevel="0" collapsed="false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</row>
    <row r="5" customFormat="false" ht="15" hidden="false" customHeight="true" outlineLevel="0" collapsed="false">
      <c r="A5" s="13" t="s">
        <v>62</v>
      </c>
      <c r="B5" s="14" t="n">
        <v>0.3181</v>
      </c>
      <c r="C5" s="15" t="n">
        <v>100</v>
      </c>
      <c r="D5" s="16" t="n">
        <f aca="false">C5/100*311</f>
        <v>311</v>
      </c>
      <c r="E5" s="17" t="n">
        <v>3240.02</v>
      </c>
      <c r="F5" s="17" t="n">
        <v>2447.89</v>
      </c>
    </row>
    <row r="6" customFormat="false" ht="15" hidden="false" customHeight="true" outlineLevel="0" collapsed="false">
      <c r="A6" s="13" t="s">
        <v>63</v>
      </c>
      <c r="B6" s="14" t="n">
        <v>0.1786</v>
      </c>
      <c r="C6" s="16" t="n">
        <f aca="false">C5*(1+B6)</f>
        <v>117.86</v>
      </c>
      <c r="D6" s="16" t="n">
        <f aca="false">C6/100*311</f>
        <v>366.5446</v>
      </c>
      <c r="E6" s="17" t="n">
        <v>3756.07</v>
      </c>
      <c r="F6" s="17" t="n">
        <v>2237.4</v>
      </c>
    </row>
    <row r="7" customFormat="false" ht="15" hidden="false" customHeight="true" outlineLevel="0" collapsed="false">
      <c r="A7" s="13" t="s">
        <v>64</v>
      </c>
      <c r="B7" s="14" t="n">
        <v>0.2984</v>
      </c>
      <c r="C7" s="16" t="n">
        <f aca="false">C6*(1+B7)</f>
        <v>153.029424</v>
      </c>
      <c r="D7" s="16" t="n">
        <f aca="false">C7/100*311</f>
        <v>475.92150864</v>
      </c>
      <c r="E7" s="17" t="n">
        <v>4793.06</v>
      </c>
      <c r="F7" s="17" t="n">
        <v>3700.65</v>
      </c>
    </row>
    <row r="8" customFormat="false" ht="15" hidden="false" customHeight="true" outlineLevel="0" collapsed="false">
      <c r="A8" s="13" t="s">
        <v>65</v>
      </c>
      <c r="B8" s="18" t="n">
        <v>-0.1932</v>
      </c>
      <c r="C8" s="16" t="n">
        <f aca="false">C7*(1+B8)</f>
        <v>123.4641392832</v>
      </c>
      <c r="D8" s="16" t="n">
        <f aca="false">C8/100*311</f>
        <v>383.973473170752</v>
      </c>
      <c r="E8" s="17" t="n">
        <v>4796.56</v>
      </c>
      <c r="F8" s="17" t="n">
        <v>3577.03</v>
      </c>
    </row>
    <row r="9" customFormat="false" ht="15" hidden="false" customHeight="true" outlineLevel="0" collapsed="false">
      <c r="A9" s="13" t="s">
        <v>66</v>
      </c>
      <c r="B9" s="14" t="n">
        <v>0.2612</v>
      </c>
      <c r="C9" s="16" t="n">
        <f aca="false">C8*(1+B9)</f>
        <v>155.712972463972</v>
      </c>
      <c r="D9" s="16" t="n">
        <f aca="false">C9/100*311</f>
        <v>484.267344362952</v>
      </c>
      <c r="E9" s="17" t="n">
        <v>4588.96</v>
      </c>
      <c r="F9" s="17" t="n">
        <v>3808.1</v>
      </c>
    </row>
    <row r="10" customFormat="false" ht="15" hidden="false" customHeight="true" outlineLevel="0" collapsed="false">
      <c r="A10" s="13" t="s">
        <v>67</v>
      </c>
      <c r="B10" s="14" t="n">
        <v>0.2573</v>
      </c>
      <c r="C10" s="16" t="n">
        <f aca="false">C9*(1+B10)</f>
        <v>195.777920278952</v>
      </c>
      <c r="D10" s="16" t="n">
        <f aca="false">C10/100*311</f>
        <v>608.86933206754</v>
      </c>
      <c r="E10" s="17" t="n">
        <v>5881.63</v>
      </c>
      <c r="F10" s="19" t="s">
        <v>68</v>
      </c>
    </row>
    <row r="11" customFormat="false" ht="15" hidden="false" customHeight="true" outlineLevel="0" collapsed="false">
      <c r="A11" s="13" t="s">
        <v>69</v>
      </c>
      <c r="B11" s="14" t="n">
        <v>0.1805</v>
      </c>
      <c r="C11" s="16" t="n">
        <f aca="false">C10*(1+B11)</f>
        <v>231.115834889303</v>
      </c>
      <c r="D11" s="16" t="n">
        <f aca="false">C11/100*311</f>
        <v>718.770246505731</v>
      </c>
      <c r="E11" s="17" t="n">
        <v>6932.05</v>
      </c>
      <c r="F11" s="19" t="n">
        <v>4835</v>
      </c>
    </row>
    <row r="12" customFormat="false" ht="15" hidden="false" customHeight="true" outlineLevel="0" collapsed="false">
      <c r="A12" s="13" t="s">
        <v>70</v>
      </c>
      <c r="B12" s="14" t="n">
        <v>0.1283</v>
      </c>
      <c r="C12" s="16" t="n">
        <f aca="false">C11*(1+B12)</f>
        <v>260.7679965056</v>
      </c>
      <c r="D12" s="16" t="n">
        <f aca="false">C12/100*311</f>
        <v>810.988469132416</v>
      </c>
      <c r="E12" s="17" t="n">
        <v>7400</v>
      </c>
      <c r="F12" s="19" t="s">
        <v>68</v>
      </c>
    </row>
    <row r="14" customFormat="false" ht="27.75" hidden="false" customHeight="true" outlineLevel="0" collapsed="false">
      <c r="A14" s="4" t="s">
        <v>71</v>
      </c>
      <c r="B14" s="4"/>
      <c r="C14" s="4"/>
      <c r="D14" s="4"/>
      <c r="E14" s="4"/>
      <c r="F14" s="4"/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3"/>
    <col collapsed="false" customWidth="true" hidden="false" outlineLevel="0" max="4" min="4" style="1" width="15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72</v>
      </c>
      <c r="B1" s="2"/>
      <c r="C1" s="2"/>
      <c r="D1" s="2"/>
      <c r="E1" s="2"/>
    </row>
    <row r="2" customFormat="false" ht="27.75" hidden="false" customHeight="true" outlineLevel="0" collapsed="false">
      <c r="A2" s="20" t="s">
        <v>73</v>
      </c>
      <c r="B2" s="20"/>
      <c r="C2" s="20"/>
      <c r="D2" s="20"/>
      <c r="E2" s="20"/>
    </row>
    <row r="4" customFormat="false" ht="15" hidden="false" customHeight="true" outlineLevel="0" collapsed="false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</row>
    <row r="5" customFormat="false" ht="45" hidden="false" customHeight="true" outlineLevel="0" collapsed="false">
      <c r="A5" s="21" t="s">
        <v>79</v>
      </c>
      <c r="B5" s="22" t="n">
        <v>0.08</v>
      </c>
      <c r="C5" s="22" t="n">
        <v>0.15</v>
      </c>
      <c r="D5" s="23" t="n">
        <f aca="false">AVERAGE(B5:C5)</f>
        <v>0.115</v>
      </c>
      <c r="E5" s="24" t="s">
        <v>80</v>
      </c>
    </row>
    <row r="6" customFormat="false" ht="45" hidden="false" customHeight="true" outlineLevel="0" collapsed="false">
      <c r="A6" s="21" t="s">
        <v>81</v>
      </c>
      <c r="B6" s="22" t="n">
        <v>0</v>
      </c>
      <c r="C6" s="22" t="n">
        <v>0.08</v>
      </c>
      <c r="D6" s="23" t="n">
        <f aca="false">AVERAGE(B6:C6)</f>
        <v>0.04</v>
      </c>
      <c r="E6" s="24" t="s">
        <v>82</v>
      </c>
    </row>
    <row r="7" customFormat="false" ht="45" hidden="false" customHeight="true" outlineLevel="0" collapsed="false">
      <c r="A7" s="21" t="s">
        <v>83</v>
      </c>
      <c r="B7" s="22" t="n">
        <v>-0.15</v>
      </c>
      <c r="C7" s="22" t="n">
        <v>-0.03</v>
      </c>
      <c r="D7" s="23" t="n">
        <f aca="false">AVERAGE(B7:C7)</f>
        <v>-0.09</v>
      </c>
      <c r="E7" s="24" t="s">
        <v>84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0"/>
  </cols>
  <sheetData>
    <row r="1" customFormat="false" ht="19.5" hidden="false" customHeight="true" outlineLevel="0" collapsed="false">
      <c r="A1" s="2" t="s">
        <v>85</v>
      </c>
      <c r="B1" s="2"/>
    </row>
    <row r="3" customFormat="false" ht="15.75" hidden="false" customHeight="true" outlineLevel="0" collapsed="false">
      <c r="A3" s="25" t="s">
        <v>86</v>
      </c>
      <c r="B3" s="25"/>
      <c r="C3" s="25"/>
      <c r="D3" s="25"/>
    </row>
    <row r="4" customFormat="false" ht="15.75" hidden="false" customHeight="true" outlineLevel="0" collapsed="false">
      <c r="A4" s="25" t="s">
        <v>87</v>
      </c>
      <c r="B4" s="25"/>
      <c r="C4" s="25"/>
      <c r="D4" s="25"/>
    </row>
    <row r="5" customFormat="false" ht="15.75" hidden="false" customHeight="true" outlineLevel="0" collapsed="false">
      <c r="A5" s="25" t="s">
        <v>88</v>
      </c>
      <c r="B5" s="25"/>
      <c r="C5" s="25"/>
      <c r="D5" s="25"/>
    </row>
    <row r="6" customFormat="false" ht="15.75" hidden="false" customHeight="true" outlineLevel="0" collapsed="false">
      <c r="A6" s="25" t="s">
        <v>89</v>
      </c>
      <c r="B6" s="25"/>
      <c r="C6" s="25"/>
      <c r="D6" s="25"/>
    </row>
    <row r="7" customFormat="false" ht="15.75" hidden="false" customHeight="true" outlineLevel="0" collapsed="false">
      <c r="A7" s="25" t="s">
        <v>90</v>
      </c>
      <c r="B7" s="25"/>
      <c r="C7" s="25"/>
      <c r="D7" s="25"/>
    </row>
    <row r="8" customFormat="false" ht="15.75" hidden="false" customHeight="true" outlineLevel="0" collapsed="false">
      <c r="A8" s="25" t="s">
        <v>91</v>
      </c>
      <c r="B8" s="25"/>
      <c r="C8" s="25"/>
      <c r="D8" s="25"/>
    </row>
    <row r="9" customFormat="false" ht="15.75" hidden="false" customHeight="true" outlineLevel="0" collapsed="false">
      <c r="A9" s="25" t="s">
        <v>92</v>
      </c>
      <c r="B9" s="25"/>
      <c r="C9" s="25"/>
      <c r="D9" s="25"/>
    </row>
    <row r="10" customFormat="false" ht="15.75" hidden="false" customHeight="true" outlineLevel="0" collapsed="false">
      <c r="A10" s="25" t="s">
        <v>93</v>
      </c>
      <c r="B10" s="25"/>
      <c r="C10" s="25"/>
      <c r="D10" s="25"/>
    </row>
    <row r="11" customFormat="false" ht="15.75" hidden="false" customHeight="true" outlineLevel="0" collapsed="false">
      <c r="A11" s="25" t="s">
        <v>94</v>
      </c>
      <c r="B11" s="25"/>
      <c r="C11" s="25"/>
      <c r="D11" s="25"/>
    </row>
    <row r="12" customFormat="false" ht="15.75" hidden="false" customHeight="true" outlineLevel="0" collapsed="false">
      <c r="A12" s="25" t="s">
        <v>95</v>
      </c>
      <c r="B12" s="25"/>
      <c r="C12" s="25"/>
      <c r="D12" s="25"/>
    </row>
    <row r="13" customFormat="false" ht="15.75" hidden="false" customHeight="true" outlineLevel="0" collapsed="false">
      <c r="A13" s="25" t="s">
        <v>96</v>
      </c>
      <c r="B13" s="25"/>
      <c r="C13" s="25"/>
      <c r="D13" s="25"/>
    </row>
    <row r="14" customFormat="false" ht="15.75" hidden="false" customHeight="true" outlineLevel="0" collapsed="false">
      <c r="A14" s="25" t="s">
        <v>97</v>
      </c>
      <c r="B14" s="25"/>
      <c r="C14" s="25"/>
      <c r="D14" s="25"/>
    </row>
  </sheetData>
  <mergeCells count="13">
    <mergeCell ref="A1:B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2026-07-24T16:30:23Z</dcterms:created>
  <dc:creator>openpyxl</dc:creator>
  <dc:description/>
  <dc:language>en-US</dc:language>
  <cp:lastModifiedBy/>
  <dcterms:modified xsi:type="dcterms:W3CDTF">2026-07-24T16:48:21Z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