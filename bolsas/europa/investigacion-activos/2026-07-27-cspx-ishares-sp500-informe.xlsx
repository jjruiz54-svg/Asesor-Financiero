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KPI" sheetId="1" state="visible" r:id="rId3"/>
    <sheet name="Historico 4 anos" sheetId="2" state="visible" r:id="rId4"/>
    <sheet name="Escenarios 6 me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<sst xmlns="http://schemas.openxmlformats.org/spreadsheetml/2006/main" count="79" uniqueCount="65">
  <si>
    <t xml:space="preserve">CSPX — iShares Core S&amp;P 500 UCITS ETF (Acc) — Resumen de KPI</t>
  </si>
  <si>
    <t xml:space="preserve">Informe educativo — no constituye asesoría financiera profesional. Datos con fecha de corte 2026-07-27.</t>
  </si>
  <si>
    <t xml:space="preserve">Indicador</t>
  </si>
  <si>
    <t xml:space="preserve">Valor</t>
  </si>
  <si>
    <t xml:space="preserve">Fuente</t>
  </si>
  <si>
    <t xml:space="preserve">Fecha</t>
  </si>
  <si>
    <t xml:space="preserve">Precio actual (CSPX, LSE, USD)</t>
  </si>
  <si>
    <t xml:space="preserve">Yahoo Finance</t>
  </si>
  <si>
    <t xml:space="preserve">2026-07-27</t>
  </si>
  <si>
    <t xml:space="preserve">S&amp;P 500 (índice subyacente), cierre</t>
  </si>
  <si>
    <t xml:space="preserve">Trading Economics</t>
  </si>
  <si>
    <t xml:space="preserve">Rentabilidad YTD 2026 (CSPX) — mínimo del rango observado</t>
  </si>
  <si>
    <t xml:space="preserve">Cálculo propio / PortfoliosLab</t>
  </si>
  <si>
    <t xml:space="preserve">Rentabilidad YTD 2026 (CSPX) — máximo del rango observado</t>
  </si>
  <si>
    <t xml:space="preserve">PortfoliosLab</t>
  </si>
  <si>
    <t xml:space="preserve">2026-07-24</t>
  </si>
  <si>
    <t xml:space="preserve">TER (comisión de gestión anual)</t>
  </si>
  <si>
    <t xml:space="preserve">justETF / BlackRock factsheet</t>
  </si>
  <si>
    <t xml:space="preserve">2026-07</t>
  </si>
  <si>
    <t xml:space="preserve">AUM (patrimonio gestionado, fondo completo)</t>
  </si>
  <si>
    <t xml:space="preserve">justETF</t>
  </si>
  <si>
    <t xml:space="preserve">P/E (ratio precio/beneficio) de la cartera</t>
  </si>
  <si>
    <t xml:space="preserve">Agregador de datos de mercado</t>
  </si>
  <si>
    <t xml:space="preserve">EUR/USD</t>
  </si>
  <si>
    <t xml:space="preserve">Brent crude (USD/barril)</t>
  </si>
  <si>
    <t xml:space="preserve">Tasa Fed (límite superior del rango vigente)</t>
  </si>
  <si>
    <t xml:space="preserve">Reserva Federal (FOMC)</t>
  </si>
  <si>
    <t xml:space="preserve">desde 2025-12-10</t>
  </si>
  <si>
    <t xml:space="preserve">Concentración "Siete Magníficas" en S&amp;P 500 (aprox., techo del rango)</t>
  </si>
  <si>
    <t xml:space="preserve">Motley Fool / Kavout</t>
  </si>
  <si>
    <t xml:space="preserve">2026</t>
  </si>
  <si>
    <t xml:space="preserve">Rango 52 semanas CSPX — mínimo</t>
  </si>
  <si>
    <t xml:space="preserve">StockAnalysis.com</t>
  </si>
  <si>
    <t xml:space="preserve">2026-07-13</t>
  </si>
  <si>
    <t xml:space="preserve">Rango 52 semanas CSPX — máximo</t>
  </si>
  <si>
    <t xml:space="preserve">Rentabilidad anualizada 2022-2025 (4 años completos, cálculo propio)</t>
  </si>
  <si>
    <t xml:space="preserve">Cálculo propio (compuesto de rentabilidades anuales 2022-2025)</t>
  </si>
  <si>
    <t xml:space="preserve">CSPX — Histórico de rentabilidad y precio/NAV (últimos 4 años + 2026 parcial)</t>
  </si>
  <si>
    <t xml:space="preserve">Rentabilidad anual total return en USD (clase Acc). Precio/NAV de cierre calculado para años sin dato directo de cotización (ver ficha .md).</t>
  </si>
  <si>
    <t xml:space="preserve">Año</t>
  </si>
  <si>
    <t xml:space="preserve">Rentabilidad anual (%)</t>
  </si>
  <si>
    <t xml:space="preserve">Precio/NAV cierre aprox. (USD)</t>
  </si>
  <si>
    <t xml:space="preserve">Fuente / fecha</t>
  </si>
  <si>
    <t xml:space="preserve">2022</t>
  </si>
  <si>
    <t xml:space="preserve">Yahoo Finance / Morningstar, 2026-07-24</t>
  </si>
  <si>
    <t xml:space="preserve">Rentabilidad anualizada 2022-2025 (compuesta, cálculo propio)</t>
  </si>
  <si>
    <t xml:space="preserve">2023</t>
  </si>
  <si>
    <t xml:space="preserve">2024</t>
  </si>
  <si>
    <t xml:space="preserve">2025</t>
  </si>
  <si>
    <t xml:space="preserve">2026 (parcial, YTD)</t>
  </si>
  <si>
    <t xml:space="preserve">Cálculo propio / Yahoo Finance, 2026-07-27</t>
  </si>
  <si>
    <t xml:space="preserve">CSPX — Escenarios de proyección a 6 meses (27-jul-2026 a ~27-ene-2027)</t>
  </si>
  <si>
    <t xml:space="preserve">OPINIÓN / PROYECCIÓN EDUCATIVA, no un hecho ni una recomendación de inversión. Rentabilidad estimada en USD, sin efecto de divisa.</t>
  </si>
  <si>
    <t xml:space="preserve">Escenario</t>
  </si>
  <si>
    <t xml:space="preserve">Rentabilidad mínima estimada (%)</t>
  </si>
  <si>
    <t xml:space="preserve">Rentabilidad máxima estimada (%)</t>
  </si>
  <si>
    <t xml:space="preserve">Descripción breve</t>
  </si>
  <si>
    <t xml:space="preserve">Alcista</t>
  </si>
  <si>
    <t xml:space="preserve">Fed sin cambios el 29-jul, pausa EE.UU.-Irán se consolida, acuerdo comercial UE-EE.UU. da estabilidad, resultados de IA positivos.</t>
  </si>
  <si>
    <t xml:space="preserve">Base</t>
  </si>
  <si>
    <t xml:space="preserve">Fed mantiene tasas estables 3.50%-3.75%, pausa Irán frágil pero sin escalar, ciclo de IA sostiene subida moderada.</t>
  </si>
  <si>
    <t xml:space="preserve">Bajista</t>
  </si>
  <si>
    <t xml:space="preserve">Reescalada del conflicto EE.UU.-Irán, shock de petróleo reaviva inflación, Fed sube tasas, corrección en megacaps de IA.</t>
  </si>
  <si>
    <t xml:space="preserve">Fuente: análisis propio del agente bolsa-europa, basado en datos citados en la ficha</t>
  </si>
  <si>
    <t xml:space="preserve">bolsas/europa/investigacion-activos/2026-07-27-cspx-ishares-sp500-analisis.md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</si>
</sst>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"/>
    <numFmt numFmtId="167" formatCode="0.0%"/>
    <numFmt numFmtId="168" formatCode="0.00%"/>
    <numFmt numFmtId="169" formatCode="#,##0&quot; M EUR&quot;"/>
    <numFmt numFmtId="170" formatCode="0.00\x"/>
    <numFmt numFmtId="171" formatCode="0.0000"/>
    <numFmt numFmtId="172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62828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2E7D32"/>
      <name val="Arial"/>
      <family val="0"/>
      <charset val="1"/>
    </font>
    <font>
      <b val="true"/>
      <sz val="10"/>
      <color rgb="FFED9F00"/>
      <name val="Arial"/>
      <family val="0"/>
      <charset val="1"/>
    </font>
    <font>
      <b val="true"/>
      <sz val="10"/>
      <color rgb="FFC6282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78787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9F00"/>
      <rgbColor rgb="FFFF6600"/>
      <rgbColor rgb="FF4F81BD"/>
      <rgbColor rgb="FF9E9E9E"/>
      <rgbColor rgb="FF003366"/>
      <rgbColor rgb="FF2E7D32"/>
      <rgbColor rgb="FF003300"/>
      <rgbColor rgb="FF333300"/>
      <rgbColor rgb="FFC6282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CSPX — Precio/NAV de cierre aprox. (USD), 2022-2026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'Historico 4 anos'!C4</c:f>
              <c:strCache>
                <c:ptCount val="1"/>
                <c:pt idx="0">
                  <c:v>Precio/NAV cierre aprox. (USD)</c:v>
                </c:pt>
              </c:strCache>
            </c:strRef>
          </c:tx>
          <c:spPr>
            <a:solidFill>
              <a:srgbClr val="1f4e78"/>
            </a:solidFill>
            <a:ln w="2484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4 anos'!$A$5:$A$9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 (parcial, YTD)</c:v>
                </c:pt>
              </c:strCache>
            </c:strRef>
          </c:cat>
          <c:val>
            <c:numRef>
              <c:f>'Historico 4 anos'!$C$5:$C$9</c:f>
              <c:numCache>
                <c:formatCode>\$#,##0.00</c:formatCode>
                <c:ptCount val="5"/>
                <c:pt idx="0">
                  <c:v>384</c:v>
                </c:pt>
                <c:pt idx="1">
                  <c:v>484</c:v>
                </c:pt>
                <c:pt idx="2">
                  <c:v>608</c:v>
                </c:pt>
                <c:pt idx="3">
                  <c:v>718</c:v>
                </c:pt>
                <c:pt idx="4">
                  <c:v>806.09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79752"/>
        <c:axId val="59889155"/>
      </c:lineChart>
      <c:catAx>
        <c:axId val="4779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89155"/>
        <c:crosses val="autoZero"/>
        <c:auto val="1"/>
        <c:lblAlgn val="ctr"/>
        <c:lblOffset val="100"/>
        <c:noMultiLvlLbl val="0"/>
      </c:catAx>
      <c:valAx>
        <c:axId val="59889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Precio/NAV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9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CSPX — Rentabilidad anual (%), 2022-2026 (parcial)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'Historico 4 anos'!B4</c:f>
              <c:strCache>
                <c:ptCount val="1"/>
                <c:pt idx="0">
                  <c:v>Rentabilidad anual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6282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4 anos'!$A$5:$A$9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 (parcial, YTD)</c:v>
                </c:pt>
              </c:strCache>
            </c:strRef>
          </c:cat>
          <c:val>
            <c:numRef>
              <c:f>'Historico 4 anos'!$B$5:$B$9</c:f>
              <c:numCache>
                <c:formatCode>0.00%</c:formatCode>
                <c:ptCount val="5"/>
                <c:pt idx="0">
                  <c:v>-0.1932</c:v>
                </c:pt>
                <c:pt idx="1">
                  <c:v>0.2612</c:v>
                </c:pt>
                <c:pt idx="2">
                  <c:v>0.2573</c:v>
                </c:pt>
                <c:pt idx="3">
                  <c:v>0.1805</c:v>
                </c:pt>
                <c:pt idx="4">
                  <c:v>0.089</c:v>
                </c:pt>
              </c:numCache>
            </c:numRef>
          </c:val>
        </c:ser>
        <c:gapWidth val="40"/>
        <c:overlap val="0"/>
        <c:axId val="92693850"/>
        <c:axId val="46673001"/>
      </c:barChart>
      <c:catAx>
        <c:axId val="92693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73001"/>
        <c:crosses val="autoZero"/>
        <c:auto val="1"/>
        <c:lblAlgn val="ctr"/>
        <c:lblOffset val="100"/>
        <c:noMultiLvlLbl val="0"/>
      </c:catAx>
      <c:valAx>
        <c:axId val="46673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anual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938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Rango de rentabilidad estimada a 6 meses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'Escenarios 6 meses'!B4</c:f>
              <c:strCache>
                <c:ptCount val="1"/>
                <c:pt idx="0">
                  <c:v>Rentabilidad mínima estimada (%)</c:v>
                </c:pt>
              </c:strCache>
            </c:strRef>
          </c:tx>
          <c:spPr>
            <a:solidFill>
              <a:srgbClr val="9e9e9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'Escenarios 6 meses'!$A$5:$A$7</c:f>
              <c:strCache>
                <c:ptCount val="3"/>
                <c:pt idx="0">
                  <c:v>Alcista</c:v>
                </c:pt>
                <c:pt idx="1">
                  <c:v>Base</c:v>
                </c:pt>
                <c:pt idx="2">
                  <c:v>Bajista</c:v>
                </c:pt>
              </c:strCache>
            </c:strRef>
          </c:cat>
          <c:val>
            <c:numRef>
              <c:f>'Escenarios 6 meses'!$B$5:$B$7</c:f>
              <c:numCache>
                <c:formatCode>0.0%</c:formatCode>
                <c:ptCount val="3"/>
                <c:pt idx="0">
                  <c:v>0.08</c:v>
                </c:pt>
                <c:pt idx="1">
                  <c:v>0</c:v>
                </c:pt>
                <c:pt idx="2">
                  <c:v>-0.15</c:v>
                </c:pt>
              </c:numCache>
            </c:numRef>
          </c:val>
        </c:ser>
        <c:ser>
          <c:idx val="1"/>
          <c:order val="1"/>
          <c:tx>
            <c:strRef>
              <c:f>'Escenarios 6 meses'!C4</c:f>
              <c:strCache>
                <c:ptCount val="1"/>
                <c:pt idx="0">
                  <c:v>Rentabilidad máxima estimada (%)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'Escenarios 6 meses'!$A$5:$A$7</c:f>
              <c:strCache>
                <c:ptCount val="3"/>
                <c:pt idx="0">
                  <c:v>Alcista</c:v>
                </c:pt>
                <c:pt idx="1">
                  <c:v>Base</c:v>
                </c:pt>
                <c:pt idx="2">
                  <c:v>Bajista</c:v>
                </c:pt>
              </c:strCache>
            </c:strRef>
          </c:cat>
          <c:val>
            <c:numRef>
              <c:f>'Escenarios 6 meses'!$C$5:$C$7</c:f>
              <c:numCache>
                <c:formatCode>0.0%</c:formatCode>
                <c:ptCount val="3"/>
                <c:pt idx="0">
                  <c:v>0.15</c:v>
                </c:pt>
                <c:pt idx="1">
                  <c:v>0.08</c:v>
                </c:pt>
                <c:pt idx="2">
                  <c:v>-0.03</c:v>
                </c:pt>
              </c:numCache>
            </c:numRef>
          </c:val>
        </c:ser>
        <c:gapWidth val="60"/>
        <c:overlap val="-10"/>
        <c:axId val="11205266"/>
        <c:axId val="66446735"/>
      </c:barChart>
      <c:catAx>
        <c:axId val="11205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46735"/>
        <c:crosses val="autoZero"/>
        <c:auto val="1"/>
        <c:lblAlgn val="ctr"/>
        <c:lblOffset val="100"/>
        <c:noMultiLvlLbl val="0"/>
      </c:catAx>
      <c:valAx>
        <c:axId val="66446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estimada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052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160920</xdr:rowOff>
    </xdr:from>
    <xdr:to>
      <xdr:col>2</xdr:col>
      <xdr:colOff>2025720</xdr:colOff>
      <xdr:row>23</xdr:row>
      <xdr:rowOff>182880</xdr:rowOff>
    </xdr:to>
    <xdr:graphicFrame>
      <xdr:nvGraphicFramePr>
        <xdr:cNvPr id="0" name="Chart 1"/>
        <xdr:cNvGraphicFramePr/>
      </xdr:nvGraphicFramePr>
      <xdr:xfrm>
        <a:off x="0" y="171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160920</xdr:rowOff>
    </xdr:from>
    <xdr:to>
      <xdr:col>2</xdr:col>
      <xdr:colOff>2025720</xdr:colOff>
      <xdr:row>41</xdr:row>
      <xdr:rowOff>182880</xdr:rowOff>
    </xdr:to>
    <xdr:graphicFrame>
      <xdr:nvGraphicFramePr>
        <xdr:cNvPr id="1" name="Chart 2"/>
        <xdr:cNvGraphicFramePr/>
      </xdr:nvGraphicFramePr>
      <xdr:xfrm>
        <a:off x="0" y="5143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10080</xdr:rowOff>
    </xdr:from>
    <xdr:to>
      <xdr:col>3</xdr:col>
      <xdr:colOff>612360</xdr:colOff>
      <xdr:row>28</xdr:row>
      <xdr:rowOff>11160</xdr:rowOff>
    </xdr:to>
    <xdr:graphicFrame>
      <xdr:nvGraphicFramePr>
        <xdr:cNvPr id="2" name="Chart 1"/>
        <xdr:cNvGraphicFramePr/>
      </xdr:nvGraphicFramePr>
      <xdr:xfrm>
        <a:off x="0" y="3429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806.09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7454</v>
      </c>
      <c r="C6" s="4" t="s">
        <v>10</v>
      </c>
      <c r="D6" s="4" t="s">
        <v>8</v>
      </c>
    </row>
    <row r="7" customFormat="false" ht="15" hidden="false" customHeight="false" outlineLevel="0" collapsed="false">
      <c r="A7" s="4" t="s">
        <v>11</v>
      </c>
      <c r="B7" s="7" t="n">
        <v>0.089</v>
      </c>
      <c r="C7" s="4" t="s">
        <v>12</v>
      </c>
      <c r="D7" s="4" t="s">
        <v>8</v>
      </c>
    </row>
    <row r="8" customFormat="false" ht="15" hidden="false" customHeight="false" outlineLevel="0" collapsed="false">
      <c r="A8" s="4" t="s">
        <v>13</v>
      </c>
      <c r="B8" s="7" t="n">
        <v>0.128</v>
      </c>
      <c r="C8" s="4" t="s">
        <v>14</v>
      </c>
      <c r="D8" s="4" t="s">
        <v>15</v>
      </c>
    </row>
    <row r="9" customFormat="false" ht="15" hidden="false" customHeight="false" outlineLevel="0" collapsed="false">
      <c r="A9" s="4" t="s">
        <v>16</v>
      </c>
      <c r="B9" s="8" t="n">
        <v>0.0007</v>
      </c>
      <c r="C9" s="4" t="s">
        <v>17</v>
      </c>
      <c r="D9" s="4" t="s">
        <v>18</v>
      </c>
    </row>
    <row r="10" customFormat="false" ht="15" hidden="false" customHeight="false" outlineLevel="0" collapsed="false">
      <c r="A10" s="4" t="s">
        <v>19</v>
      </c>
      <c r="B10" s="9" t="n">
        <v>130917</v>
      </c>
      <c r="C10" s="4" t="s">
        <v>20</v>
      </c>
      <c r="D10" s="4" t="s">
        <v>18</v>
      </c>
    </row>
    <row r="11" customFormat="false" ht="15" hidden="false" customHeight="false" outlineLevel="0" collapsed="false">
      <c r="A11" s="4" t="s">
        <v>21</v>
      </c>
      <c r="B11" s="10" t="n">
        <v>21.06</v>
      </c>
      <c r="C11" s="4" t="s">
        <v>22</v>
      </c>
      <c r="D11" s="4" t="s">
        <v>18</v>
      </c>
    </row>
    <row r="12" customFormat="false" ht="15" hidden="false" customHeight="false" outlineLevel="0" collapsed="false">
      <c r="A12" s="4" t="s">
        <v>23</v>
      </c>
      <c r="B12" s="11" t="n">
        <v>1.1397</v>
      </c>
      <c r="C12" s="4" t="s">
        <v>10</v>
      </c>
      <c r="D12" s="4" t="s">
        <v>8</v>
      </c>
    </row>
    <row r="13" customFormat="false" ht="15" hidden="false" customHeight="false" outlineLevel="0" collapsed="false">
      <c r="A13" s="4" t="s">
        <v>24</v>
      </c>
      <c r="B13" s="5" t="n">
        <v>90.28</v>
      </c>
      <c r="C13" s="4" t="s">
        <v>10</v>
      </c>
      <c r="D13" s="4" t="s">
        <v>8</v>
      </c>
    </row>
    <row r="14" customFormat="false" ht="15" hidden="false" customHeight="false" outlineLevel="0" collapsed="false">
      <c r="A14" s="4" t="s">
        <v>25</v>
      </c>
      <c r="B14" s="8" t="n">
        <v>0.0375</v>
      </c>
      <c r="C14" s="4" t="s">
        <v>26</v>
      </c>
      <c r="D14" s="4" t="s">
        <v>27</v>
      </c>
    </row>
    <row r="15" customFormat="false" ht="15" hidden="false" customHeight="false" outlineLevel="0" collapsed="false">
      <c r="A15" s="4" t="s">
        <v>28</v>
      </c>
      <c r="B15" s="7" t="n">
        <v>0.35</v>
      </c>
      <c r="C15" s="4" t="s">
        <v>29</v>
      </c>
      <c r="D15" s="4" t="s">
        <v>30</v>
      </c>
    </row>
    <row r="16" customFormat="false" ht="15" hidden="false" customHeight="false" outlineLevel="0" collapsed="false">
      <c r="A16" s="4" t="s">
        <v>31</v>
      </c>
      <c r="B16" s="5" t="n">
        <v>634.67</v>
      </c>
      <c r="C16" s="4" t="s">
        <v>32</v>
      </c>
      <c r="D16" s="4" t="s">
        <v>33</v>
      </c>
    </row>
    <row r="17" customFormat="false" ht="15" hidden="false" customHeight="false" outlineLevel="0" collapsed="false">
      <c r="A17" s="4" t="s">
        <v>34</v>
      </c>
      <c r="B17" s="5" t="n">
        <v>819.73</v>
      </c>
      <c r="C17" s="4" t="s">
        <v>32</v>
      </c>
      <c r="D17" s="4" t="s">
        <v>33</v>
      </c>
    </row>
    <row r="18" customFormat="false" ht="15" hidden="false" customHeight="false" outlineLevel="0" collapsed="false">
      <c r="A18" s="12" t="s">
        <v>35</v>
      </c>
      <c r="B18" s="13" t="n">
        <f aca="false">'Historico 4 anos'!F6</f>
        <v>0.108571450018922</v>
      </c>
      <c r="C18" s="4" t="s">
        <v>36</v>
      </c>
      <c r="D18" s="4" t="s">
        <v>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</row>
    <row r="2" customFormat="false" ht="15" hidden="false" customHeight="false" outlineLevel="0" collapsed="false">
      <c r="A2" s="2" t="s">
        <v>38</v>
      </c>
      <c r="B2" s="2"/>
      <c r="C2" s="2"/>
      <c r="D2" s="2"/>
    </row>
    <row r="4" customFormat="false" ht="15" hidden="false" customHeight="false" outlineLevel="0" collapsed="false">
      <c r="A4" s="14" t="s">
        <v>39</v>
      </c>
      <c r="B4" s="14" t="s">
        <v>40</v>
      </c>
      <c r="C4" s="14" t="s">
        <v>41</v>
      </c>
      <c r="D4" s="14" t="s">
        <v>42</v>
      </c>
    </row>
    <row r="5" customFormat="false" ht="15" hidden="false" customHeight="false" outlineLevel="0" collapsed="false">
      <c r="A5" s="4" t="s">
        <v>43</v>
      </c>
      <c r="B5" s="15" t="n">
        <v>-0.1932</v>
      </c>
      <c r="C5" s="5" t="n">
        <v>384</v>
      </c>
      <c r="D5" s="16" t="s">
        <v>44</v>
      </c>
      <c r="F5" s="17" t="s">
        <v>45</v>
      </c>
    </row>
    <row r="6" customFormat="false" ht="15" hidden="false" customHeight="false" outlineLevel="0" collapsed="false">
      <c r="A6" s="4" t="s">
        <v>46</v>
      </c>
      <c r="B6" s="18" t="n">
        <v>0.2612</v>
      </c>
      <c r="C6" s="5" t="n">
        <v>484</v>
      </c>
      <c r="D6" s="16" t="s">
        <v>44</v>
      </c>
      <c r="F6" s="19" t="n">
        <f aca="false">((1+B5)*(1+B6)*(1+B7)*(1+B8))^(1/4)-1</f>
        <v>0.108571450018922</v>
      </c>
    </row>
    <row r="7" customFormat="false" ht="15" hidden="false" customHeight="false" outlineLevel="0" collapsed="false">
      <c r="A7" s="4" t="s">
        <v>47</v>
      </c>
      <c r="B7" s="18" t="n">
        <v>0.2573</v>
      </c>
      <c r="C7" s="5" t="n">
        <v>608</v>
      </c>
      <c r="D7" s="16" t="s">
        <v>44</v>
      </c>
    </row>
    <row r="8" customFormat="false" ht="15" hidden="false" customHeight="false" outlineLevel="0" collapsed="false">
      <c r="A8" s="4" t="s">
        <v>48</v>
      </c>
      <c r="B8" s="18" t="n">
        <v>0.1805</v>
      </c>
      <c r="C8" s="5" t="n">
        <v>718</v>
      </c>
      <c r="D8" s="16" t="s">
        <v>44</v>
      </c>
    </row>
    <row r="9" customFormat="false" ht="15" hidden="false" customHeight="false" outlineLevel="0" collapsed="false">
      <c r="A9" s="4" t="s">
        <v>49</v>
      </c>
      <c r="B9" s="18" t="n">
        <v>0.089</v>
      </c>
      <c r="C9" s="5" t="n">
        <v>806.09</v>
      </c>
      <c r="D9" s="16" t="s">
        <v>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51</v>
      </c>
      <c r="B1" s="1"/>
      <c r="C1" s="1"/>
      <c r="D1" s="1"/>
    </row>
    <row r="2" customFormat="false" ht="15" hidden="false" customHeight="false" outlineLevel="0" collapsed="false">
      <c r="A2" s="2" t="s">
        <v>52</v>
      </c>
      <c r="B2" s="2"/>
      <c r="C2" s="2"/>
      <c r="D2" s="2"/>
    </row>
    <row r="4" customFormat="false" ht="26.85" hidden="false" customHeight="false" outlineLevel="0" collapsed="false">
      <c r="A4" s="14" t="s">
        <v>53</v>
      </c>
      <c r="B4" s="14" t="s">
        <v>54</v>
      </c>
      <c r="C4" s="14" t="s">
        <v>55</v>
      </c>
      <c r="D4" s="14" t="s">
        <v>56</v>
      </c>
    </row>
    <row r="5" customFormat="false" ht="45" hidden="false" customHeight="true" outlineLevel="0" collapsed="false">
      <c r="A5" s="20" t="s">
        <v>57</v>
      </c>
      <c r="B5" s="7" t="n">
        <v>0.08</v>
      </c>
      <c r="C5" s="7" t="n">
        <v>0.15</v>
      </c>
      <c r="D5" s="21" t="s">
        <v>58</v>
      </c>
    </row>
    <row r="6" customFormat="false" ht="45" hidden="false" customHeight="true" outlineLevel="0" collapsed="false">
      <c r="A6" s="22" t="s">
        <v>59</v>
      </c>
      <c r="B6" s="7" t="n">
        <v>0</v>
      </c>
      <c r="C6" s="7" t="n">
        <v>0.08</v>
      </c>
      <c r="D6" s="21" t="s">
        <v>60</v>
      </c>
    </row>
    <row r="7" customFormat="false" ht="45" hidden="false" customHeight="true" outlineLevel="0" collapsed="false">
      <c r="A7" s="23" t="s">
        <v>61</v>
      </c>
      <c r="B7" s="7" t="n">
        <v>-0.15</v>
      </c>
      <c r="C7" s="7" t="n">
        <v>-0.03</v>
      </c>
      <c r="D7" s="21" t="s">
        <v>62</v>
      </c>
    </row>
    <row r="9" customFormat="false" ht="15" hidden="false" customHeight="false" outlineLevel="0" collapsed="false">
      <c r="A9" s="17" t="s">
        <v>63</v>
      </c>
    </row>
    <row r="10" customFormat="false" ht="15" hidden="false" customHeight="false" outlineLevel="0" collapsed="false">
      <c r="A10" s="17" t="s">
        <v>64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2026-07-27T14:22:37Z</dcterms:created>
  <dc:creator>openpyxl</dc:creator>
  <dc:description/>
  <dc:language>en-US</dc:language>
  <cp:lastModifiedBy/>
  <dcterms:modified xsi:type="dcterms:W3CDTF">2026-07-27T14:22:40Z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