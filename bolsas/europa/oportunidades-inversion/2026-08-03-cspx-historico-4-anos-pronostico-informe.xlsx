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istorico_Anual" sheetId="2" state="visible" r:id="rId2"/>
    <sheet name="Pronostico_6M" sheetId="3" state="visible" r:id="rId3"/>
    <sheet name="Fu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10" fontId="4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Rentabilidad anual (%) — CSPX 2021-2026 YTD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'Historico_Anual'!B3</f>
            </strRef>
          </tx>
          <spPr>
            <a:ln>
              <a:prstDash val="solid"/>
            </a:ln>
          </spPr>
          <cat>
            <numRef>
              <f>'Historico_Anual'!$A$4:$A$9</f>
            </numRef>
          </cat>
          <val>
            <numRef>
              <f>'Historico_Anual'!$B$4:$B$9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Rentabilidad anual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Índice acumulado (base 100 = 2021)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'Historico_Anual'!C3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'Historico_Anual'!$A$4:$A$9</f>
            </numRef>
          </cat>
          <val>
            <numRef>
              <f>'Historico_Anual'!$C$4:$C$9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Índice (base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Pronóstico a 6 meses — rango por escenario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'Pronostico_6M'!B3</f>
            </strRef>
          </tx>
          <spPr>
            <a:ln>
              <a:prstDash val="solid"/>
            </a:ln>
          </spPr>
          <cat>
            <numRef>
              <f>'Pronostico_6M'!$A$4:$A$6</f>
            </numRef>
          </cat>
          <val>
            <numRef>
              <f>'Pronostico_6M'!$B$4:$B$6</f>
            </numRef>
          </val>
        </ser>
        <ser>
          <idx val="1"/>
          <order val="1"/>
          <tx>
            <strRef>
              <f>'Pronostico_6M'!C3</f>
            </strRef>
          </tx>
          <spPr>
            <a:ln>
              <a:prstDash val="solid"/>
            </a:ln>
          </spPr>
          <cat>
            <numRef>
              <f>'Pronostico_6M'!$A$4:$A$6</f>
            </numRef>
          </cat>
          <val>
            <numRef>
              <f>'Pronostico_6M'!$C$4:$C$6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Rentabilidad estimada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47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50" customWidth="1" min="3" max="3"/>
    <col width="22" customWidth="1" min="4" max="4"/>
  </cols>
  <sheetData>
    <row r="1">
      <c r="A1" s="1" t="inlineStr">
        <is>
          <t>CSPX — iShares Core S&amp;P 500 UCITS ETF (Acc)</t>
        </is>
      </c>
    </row>
    <row r="2">
      <c r="A2" s="2" t="inlineStr">
        <is>
          <t>Histórico últimos 4 años (foco 2022-2026, con 2021 de referencia) y pronóstico ilustrativo a 6 meses · Fecha de corte: 1-3 de agosto de 2026</t>
        </is>
      </c>
    </row>
    <row r="3" ht="30" customHeight="1">
      <c r="A3" s="3" t="inlineStr">
        <is>
          <t>Fuente completa y metodología: bolsas/europa/oportunidades-inversion/2026-08-03-cspx-historico-4-anos-pronostico.md. El pronóstico es una proyección educativa del analista, no una predicción garantizada ni asesoría financiera. Este documento no constituye asesoría financiera profesional.</t>
        </is>
      </c>
    </row>
    <row r="4">
      <c r="A4" s="4" t="inlineStr">
        <is>
          <t>KPI</t>
        </is>
      </c>
      <c r="B4" s="4" t="inlineStr">
        <is>
          <t>Valor</t>
        </is>
      </c>
      <c r="C4" s="4" t="inlineStr">
        <is>
          <t>Fuente</t>
        </is>
      </c>
      <c r="D4" s="4" t="inlineStr">
        <is>
          <t>Fecha</t>
        </is>
      </c>
    </row>
    <row r="5">
      <c r="A5" s="5" t="inlineStr">
        <is>
          <t>Precio actual (CSPX-LSE, USD)</t>
        </is>
      </c>
      <c r="B5" s="5" t="inlineStr">
        <is>
          <t>~800.53 USD</t>
        </is>
      </c>
      <c r="C5" s="6" t="inlineStr">
        <is>
          <t>Agregador de mercado (Investing.com/stockanalysis.com)</t>
        </is>
      </c>
      <c r="D5" s="5" t="inlineStr">
        <is>
          <t>2026-08-01</t>
        </is>
      </c>
    </row>
    <row r="6">
      <c r="A6" s="5" t="inlineStr">
        <is>
          <t>Rango 52 semanas (CSPX-LSE, USD)</t>
        </is>
      </c>
      <c r="B6" s="5" t="inlineStr">
        <is>
          <t>665.43 – 818.43</t>
        </is>
      </c>
      <c r="C6" s="6" t="inlineStr">
        <is>
          <t>Investing.com</t>
        </is>
      </c>
      <c r="D6" s="5" t="inlineStr">
        <is>
          <t>2026-07-29 a 2026-08-01</t>
        </is>
      </c>
    </row>
    <row r="7">
      <c r="A7" s="5" t="inlineStr">
        <is>
          <t>TER (comisión total anual)</t>
        </is>
      </c>
      <c r="B7" s="7" t="n">
        <v>0.0007</v>
      </c>
      <c r="C7" s="6" t="inlineStr">
        <is>
          <t>Morningstar / Yahoo Finance</t>
        </is>
      </c>
      <c r="D7" s="5" t="inlineStr">
        <is>
          <t>2026-07-29</t>
        </is>
      </c>
    </row>
    <row r="8">
      <c r="A8" s="5" t="inlineStr">
        <is>
          <t>Método de réplica</t>
        </is>
      </c>
      <c r="B8" s="5" t="inlineStr">
        <is>
          <t>Física, completa</t>
        </is>
      </c>
      <c r="C8" s="6" t="inlineStr">
        <is>
          <t>Morningstar</t>
        </is>
      </c>
      <c r="D8" s="5" t="inlineStr">
        <is>
          <t>2026-07-29</t>
        </is>
      </c>
    </row>
    <row r="9">
      <c r="A9" s="5" t="inlineStr">
        <is>
          <t>Divisa base del fondo</t>
        </is>
      </c>
      <c r="B9" s="5" t="inlineStr">
        <is>
          <t>USD</t>
        </is>
      </c>
      <c r="C9" s="6" t="inlineStr">
        <is>
          <t>Yahoo Finance / Morningstar</t>
        </is>
      </c>
      <c r="D9" s="5" t="inlineStr">
        <is>
          <t>2026-07-29</t>
        </is>
      </c>
    </row>
    <row r="10">
      <c r="A10" s="5" t="inlineStr">
        <is>
          <t>Domicilio</t>
        </is>
      </c>
      <c r="B10" s="5" t="inlineStr">
        <is>
          <t>Irlanda</t>
        </is>
      </c>
      <c r="C10" s="6" t="inlineStr">
        <is>
          <t>Morningstar / ESMA (marco UCITS)</t>
        </is>
      </c>
      <c r="D10" s="5" t="inlineStr">
        <is>
          <t>2026-07-29</t>
        </is>
      </c>
    </row>
    <row r="11">
      <c r="A11" s="5" t="inlineStr">
        <is>
          <t>ISIN</t>
        </is>
      </c>
      <c r="B11" s="5" t="inlineStr">
        <is>
          <t>IE00B5BMR087</t>
        </is>
      </c>
      <c r="C11" s="6" t="inlineStr">
        <is>
          <t>Ficha previa de este repositorio / Yahoo Finance</t>
        </is>
      </c>
      <c r="D11" s="5" t="inlineStr">
        <is>
          <t>2026-07-29</t>
        </is>
      </c>
    </row>
    <row r="12">
      <c r="A12" s="5" t="inlineStr">
        <is>
          <t>Fecha de lanzamiento</t>
        </is>
      </c>
      <c r="B12" s="5" t="inlineStr">
        <is>
          <t>2010-05-19</t>
        </is>
      </c>
      <c r="C12" s="6" t="inlineStr">
        <is>
          <t>Ficha previa de este repositorio (justETF)</t>
        </is>
      </c>
      <c r="D12" s="5" t="inlineStr">
        <is>
          <t>2026-07-24</t>
        </is>
      </c>
    </row>
    <row r="13">
      <c r="A13" s="5" t="inlineStr">
        <is>
          <t>P/E aprox. de la cartera/índice</t>
        </is>
      </c>
      <c r="B13" s="8" t="n">
        <v>21.06</v>
      </c>
      <c r="C13" s="6" t="inlineStr">
        <is>
          <t>Ficha previa de este repositorio (discrepancia vs. ~25.46 GuruFocus, no verificado)</t>
        </is>
      </c>
      <c r="D13" s="5" t="inlineStr">
        <is>
          <t>2026-07-24</t>
        </is>
      </c>
    </row>
    <row r="14">
      <c r="A14" s="5" t="inlineStr">
        <is>
          <t>Rentabilidad YTD 2026 (CSPX, punto medio)</t>
        </is>
      </c>
      <c r="B14" s="7" t="n">
        <v>0.1103</v>
      </c>
      <c r="C14" s="6" t="inlineStr">
        <is>
          <t>Agregador de mercado / PortfoliosLab (rango +9.22% a +12.83%)</t>
        </is>
      </c>
      <c r="D14" s="5" t="inlineStr">
        <is>
          <t>2026-08-01 / 2026-07-24</t>
        </is>
      </c>
    </row>
    <row r="15">
      <c r="A15" s="5" t="inlineStr">
        <is>
          <t>Concentración 'Magnificent Seven' en el S&amp;P 500</t>
        </is>
      </c>
      <c r="B15" s="7" t="n">
        <v>0.315</v>
      </c>
      <c r="C15" s="6" t="inlineStr">
        <is>
          <t>Cobertura agregada (Forbes, History of Market)</t>
        </is>
      </c>
      <c r="D15" s="5" t="inlineStr">
        <is>
          <t>2026-06 a 2026-08</t>
        </is>
      </c>
    </row>
    <row r="16">
      <c r="A16" s="5" t="inlineStr">
        <is>
          <t>Concentración Top 10 del S&amp;P 500</t>
        </is>
      </c>
      <c r="B16" s="7" t="n">
        <v>0.4</v>
      </c>
      <c r="C16" s="6" t="inlineStr">
        <is>
          <t>Cobertura agregada de mercado</t>
        </is>
      </c>
      <c r="D16" s="5" t="inlineStr">
        <is>
          <t>2026-07/08</t>
        </is>
      </c>
    </row>
    <row r="17">
      <c r="A17" s="5" t="inlineStr">
        <is>
          <t>Probabilidad de subida de tasas Fed en sep-2026</t>
        </is>
      </c>
      <c r="B17" s="7" t="n">
        <v>0.64</v>
      </c>
      <c r="C17" s="6" t="inlineStr">
        <is>
          <t>LSEG / CNBC</t>
        </is>
      </c>
      <c r="D17" s="5" t="inlineStr">
        <is>
          <t>2026-07-31</t>
        </is>
      </c>
    </row>
    <row r="18">
      <c r="A18" s="5" t="inlineStr">
        <is>
          <t>Tasa Banco de Inglaterra (mantenida)</t>
        </is>
      </c>
      <c r="B18" s="7" t="n">
        <v>0.0375</v>
      </c>
      <c r="C18" s="6" t="inlineStr">
        <is>
          <t>Banco de Inglaterra, voto 6-3</t>
        </is>
      </c>
      <c r="D18" s="5" t="inlineStr">
        <is>
          <t>2026-07-30</t>
        </is>
      </c>
    </row>
    <row r="19">
      <c r="A19" s="5" t="inlineStr">
        <is>
          <t>EUR/USD (referencia)</t>
        </is>
      </c>
      <c r="B19" s="5" t="inlineStr">
        <is>
          <t>~1.145 – 1.152</t>
        </is>
      </c>
      <c r="C19" s="6" t="inlineStr">
        <is>
          <t>Agregador de mercado (BCE eurofxref no accesible, HTTP 403)</t>
        </is>
      </c>
      <c r="D19" s="5" t="inlineStr">
        <is>
          <t>2026-08-02/03</t>
        </is>
      </c>
    </row>
    <row r="20">
      <c r="A20" s="5" t="inlineStr">
        <is>
          <t>GBP/USD (referencia)</t>
        </is>
      </c>
      <c r="B20" s="5" t="inlineStr">
        <is>
          <t>~1.33 – 1.35</t>
        </is>
      </c>
      <c r="C20" s="6" t="inlineStr">
        <is>
          <t>Agregador de mercado (FXStreet/MTFX)</t>
        </is>
      </c>
      <c r="D20" s="5" t="inlineStr">
        <is>
          <t>2026-07-31</t>
        </is>
      </c>
    </row>
    <row r="21">
      <c r="A21" s="5" t="inlineStr">
        <is>
          <t>USD/CHF (referencia)</t>
        </is>
      </c>
      <c r="B21" s="5" t="inlineStr">
        <is>
          <t>~0.806 – 0.819</t>
        </is>
      </c>
      <c r="C21" s="6" t="inlineStr">
        <is>
          <t>Agregador de mercado (Wise/Macrotrends)</t>
        </is>
      </c>
      <c r="D21" s="5" t="inlineStr">
        <is>
          <t>2026-08-02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26" customWidth="1" min="4" max="4"/>
    <col width="22" customWidth="1" min="5" max="5"/>
    <col width="22" customWidth="1" min="6" max="6"/>
  </cols>
  <sheetData>
    <row r="1">
      <c r="A1" s="1" t="inlineStr">
        <is>
          <t>Histórico anual CSPX — rentabilidad y crecimiento acumulado (foco 2022-2026, con 2021 de referencia)</t>
        </is>
      </c>
    </row>
    <row r="2" ht="30" customHeight="1">
      <c r="A2" s="3" t="inlineStr">
        <is>
          <t>Rentabilidad anual: dato de fuente (total return USD, clase Acc). Índice acumulado y precio/NAV calculado: fórmulas derivadas de la rentabilidad anual, base 100 en el cierre de 2021. 2026 es YTD parcial (punto medio del rango +9.22% a +12.83%, ver ficha .md). Ver ficha .md para fuentes exactas de cada rentabilidad anual.</t>
        </is>
      </c>
    </row>
    <row r="3" ht="30" customHeight="1">
      <c r="A3" s="4" t="inlineStr">
        <is>
          <t>Año</t>
        </is>
      </c>
      <c r="B3" s="4" t="inlineStr">
        <is>
          <t>Rentabilidad anual (%)</t>
        </is>
      </c>
      <c r="C3" s="4" t="inlineStr">
        <is>
          <t>Índice acumulado (base 100 = 2021)</t>
        </is>
      </c>
      <c r="D3" s="4" t="inlineStr">
        <is>
          <t>Precio/NAV aprox. calculado (USD)</t>
        </is>
      </c>
      <c r="E3" s="4" t="inlineStr">
        <is>
          <t>Máximo índice S&amp;P 500 (ref.)</t>
        </is>
      </c>
      <c r="F3" s="4" t="inlineStr">
        <is>
          <t>Mínimo índice S&amp;P 500 (ref.)</t>
        </is>
      </c>
    </row>
    <row r="4">
      <c r="A4" s="5" t="inlineStr">
        <is>
          <t>2021 (ref.)</t>
        </is>
      </c>
      <c r="B4" s="7" t="n">
        <v>0.2984</v>
      </c>
      <c r="C4" s="8" t="n">
        <v>100</v>
      </c>
      <c r="D4" s="8" t="n">
        <v>476</v>
      </c>
      <c r="E4" s="5" t="n">
        <v>4793.06</v>
      </c>
      <c r="F4" s="5" t="n">
        <v>3700.65</v>
      </c>
    </row>
    <row r="5">
      <c r="A5" s="5" t="inlineStr">
        <is>
          <t>2022</t>
        </is>
      </c>
      <c r="B5" s="7" t="n">
        <v>-0.1932</v>
      </c>
      <c r="C5" s="8">
        <f>C4*(1+B5)</f>
        <v/>
      </c>
      <c r="D5" s="8">
        <f>C5/100*476</f>
        <v/>
      </c>
      <c r="E5" s="5" t="n">
        <v>4796.56</v>
      </c>
      <c r="F5" s="5" t="n">
        <v>3577.03</v>
      </c>
    </row>
    <row r="6">
      <c r="A6" s="5" t="inlineStr">
        <is>
          <t>2023</t>
        </is>
      </c>
      <c r="B6" s="7" t="n">
        <v>0.2612</v>
      </c>
      <c r="C6" s="8">
        <f>C5*(1+B6)</f>
        <v/>
      </c>
      <c r="D6" s="8">
        <f>C6/100*476</f>
        <v/>
      </c>
      <c r="E6" s="5" t="n">
        <v>4588.96</v>
      </c>
      <c r="F6" s="5" t="n">
        <v>3808.1</v>
      </c>
    </row>
    <row r="7">
      <c r="A7" s="5" t="inlineStr">
        <is>
          <t>2024</t>
        </is>
      </c>
      <c r="B7" s="7" t="n">
        <v>0.2573</v>
      </c>
      <c r="C7" s="8">
        <f>C6*(1+B7)</f>
        <v/>
      </c>
      <c r="D7" s="8">
        <f>C7/100*476</f>
        <v/>
      </c>
      <c r="E7" s="5" t="inlineStr">
        <is>
          <t>no verificado</t>
        </is>
      </c>
      <c r="F7" s="5" t="inlineStr">
        <is>
          <t>no verificado</t>
        </is>
      </c>
    </row>
    <row r="8">
      <c r="A8" s="5" t="inlineStr">
        <is>
          <t>2025</t>
        </is>
      </c>
      <c r="B8" s="7" t="n">
        <v>0.1805</v>
      </c>
      <c r="C8" s="8">
        <f>C7*(1+B8)</f>
        <v/>
      </c>
      <c r="D8" s="8">
        <f>C8/100*476</f>
        <v/>
      </c>
      <c r="E8" s="5" t="n">
        <v>6932.05</v>
      </c>
      <c r="F8" s="5" t="n">
        <v>4835</v>
      </c>
    </row>
    <row r="9">
      <c r="A9" s="5" t="inlineStr">
        <is>
          <t>2026 (YTD, punto medio)</t>
        </is>
      </c>
      <c r="B9" s="7" t="n">
        <v>0.1103</v>
      </c>
      <c r="C9" s="8">
        <f>C8*(1+B9)</f>
        <v/>
      </c>
      <c r="D9" s="8" t="n">
        <v>807</v>
      </c>
      <c r="E9" s="5" t="n">
        <v>7428</v>
      </c>
      <c r="F9" s="5" t="inlineStr">
        <is>
          <t>no verificado</t>
        </is>
      </c>
    </row>
    <row r="11" ht="45" customHeight="1">
      <c r="A11" s="3" t="inlineStr">
        <is>
          <t>Precio/NAV de 2021 (476 USD) y 2026 (807 USD) son observados/calculados por continuidad desde fichas previas de este repositorio (no son cierres de bolsa verificados de forma independiente en esta consulta). Máximo/mínimo de 2024 y mínimo de 2026 no verificados con precisión. Rentabilidad 2026 usa el punto medio del rango con discrepancia documentado en la ficha .md (+9.22% a +12.83%).</t>
        </is>
      </c>
    </row>
  </sheetData>
  <mergeCells count="1"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70" customWidth="1" min="5" max="5"/>
  </cols>
  <sheetData>
    <row r="1">
      <c r="A1" s="1" t="inlineStr">
        <is>
          <t>Pronóstico a 6 meses (3-ago-2026 → ~3-feb-2027) — escenarios</t>
        </is>
      </c>
    </row>
    <row r="2" ht="30" customHeight="1">
      <c r="A2" s="3" t="inlineStr">
        <is>
          <t>PROYECCIÓN EDUCATIVA DEL ANALISTA, NO UN HECHO NI ASESORÍA FINANCIERA. Rango en USD, sin efecto de divisa. Supuestos y catalizadores completos (informe de empleo 7-ago-2026, IPC 12-ago-2026, reunión Fed de septiembre, conflicto en Oriente Medio) en la ficha .md.</t>
        </is>
      </c>
    </row>
    <row r="3">
      <c r="A3" s="4" t="inlineStr">
        <is>
          <t>Escenario</t>
        </is>
      </c>
      <c r="B3" s="4" t="inlineStr">
        <is>
          <t>Mínimo (%)</t>
        </is>
      </c>
      <c r="C3" s="4" t="inlineStr">
        <is>
          <t>Máximo (%)</t>
        </is>
      </c>
      <c r="D3" s="4" t="inlineStr">
        <is>
          <t>Punto medio (%)</t>
        </is>
      </c>
      <c r="E3" s="4" t="inlineStr">
        <is>
          <t>Supuesto clave</t>
        </is>
      </c>
    </row>
    <row r="4" ht="45" customHeight="1">
      <c r="A4" s="9" t="inlineStr">
        <is>
          <t>Alcista</t>
        </is>
      </c>
      <c r="B4" s="10" t="n">
        <v>0.08</v>
      </c>
      <c r="C4" s="10" t="n">
        <v>0.15</v>
      </c>
      <c r="D4" s="10">
        <f>AVERAGE(B4:C4)</f>
        <v/>
      </c>
      <c r="E4" s="6" t="inlineStr">
        <is>
          <t>IPC de julio (12-ago) y empleo (7-ago) confirman enfriamiento ordenado; Fed mantiene tasas en septiembre pese al 64% de probabilidad de subida; Oriente Medio se contiene sin disrupción mayor del petróleo; buenos resultados Q3 de Nvidia/Alphabet/Meta</t>
        </is>
      </c>
    </row>
    <row r="5" ht="45" customHeight="1">
      <c r="A5" s="9" t="inlineStr">
        <is>
          <t>Base</t>
        </is>
      </c>
      <c r="B5" s="10" t="n">
        <v>0</v>
      </c>
      <c r="C5" s="10" t="n">
        <v>0.08</v>
      </c>
      <c r="D5" s="10">
        <f>AVERAGE(B5:C5)</f>
        <v/>
      </c>
      <c r="E5" s="6" t="inlineStr">
        <is>
          <t>Fed sube una vez en septiembre o mantiene; BCE sube una vez hacia septiembre; petróleo elevado (&gt;90-100 USD/barril) sin disrupción mayor; dispersión de resultados dentro de las 'Magnificent Seven' continúa sin corrección generalizada</t>
        </is>
      </c>
    </row>
    <row r="6" ht="45" customHeight="1">
      <c r="A6" s="9" t="inlineStr">
        <is>
          <t>Bajista</t>
        </is>
      </c>
      <c r="B6" s="10" t="n">
        <v>-0.15</v>
      </c>
      <c r="C6" s="10" t="n">
        <v>-0.03</v>
      </c>
      <c r="D6" s="10">
        <f>AVERAGE(B6:C6)</f>
        <v/>
      </c>
      <c r="E6" s="6" t="inlineStr">
        <is>
          <t>Inflación de julio/agosto sorprende al alza; empleo del 7-ago más débil de lo esperado (riesgo de estanflación); Fed sube de forma más agresiva; escalada del conflicto en Oriente Medio (petróleo &gt;100-120 USD/barril); corrección concentrada en tecnológicas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Fuentes consultadas</t>
        </is>
      </c>
    </row>
    <row r="3">
      <c r="A3" s="6" t="inlineStr">
        <is>
          <t>Ficha previa de este repositorio — bolsas/europa/investigacion-activos/2026-07-24-cspx-ishares-sp500-analisis.md (corte 2026-07-24)</t>
        </is>
      </c>
    </row>
    <row r="4">
      <c r="A4" s="6" t="inlineStr">
        <is>
          <t>Ficha previa de este repositorio — bolsas/europa/oportunidades-inversion/2026-07-29-cspx-analisis.md (corte 2026-07-29)</t>
        </is>
      </c>
    </row>
    <row r="5">
      <c r="A5" s="6" t="inlineStr">
        <is>
          <t>Banco Central Europeo (BCE) — comunicado de política monetaria del 23-jul-2026 — ecb.europa.eu (eurofxref bloqueado HTTP 403 el 2026-08-03)</t>
        </is>
      </c>
    </row>
    <row r="6">
      <c r="A6" s="6" t="inlineStr">
        <is>
          <t>ESMA — marco regulatorio UCITS — esma.europa.eu</t>
        </is>
      </c>
    </row>
    <row r="7">
      <c r="A7" s="6" t="inlineStr">
        <is>
          <t>Yahoo Finance — cotización e histórico CSPX.L / CSPX.AS / SXR8.DE — finance.yahoo.com — consultado 2026-08-01 a 03</t>
        </is>
      </c>
    </row>
    <row r="8">
      <c r="A8" s="6" t="inlineStr">
        <is>
          <t>Morningstar — ficha de rendimiento y perfil de CSPX — morningstar.com — consultado 2026-07-29, reutilizado 2026-08-03</t>
        </is>
      </c>
    </row>
    <row r="9">
      <c r="A9" s="6" t="inlineStr">
        <is>
          <t>Investing.com — cotización e histórico de CSPX — investing.com — consultado 2026-07-29 a 2026-08-01</t>
        </is>
      </c>
    </row>
    <row r="10">
      <c r="A10" s="6" t="inlineStr">
        <is>
          <t>CNBC — 'August kicks off next week with jobs report, earnings as momentum recovers' — cnbc.com — 2026-07-31</t>
        </is>
      </c>
    </row>
    <row r="11">
      <c r="A11" s="6" t="inlineStr">
        <is>
          <t>FRED (Reserva Federal de San Luis) — nivel de cierre del S&amp;P 500 — fred.stlouisfed.org — 2026-07-28</t>
        </is>
      </c>
    </row>
    <row r="12">
      <c r="A12" s="6" t="inlineStr">
        <is>
          <t>Al Jazeera — 'Oil surges past $100...' y estado de la guerra en Ucrania — aljazeera.com — 2026-07-23 y 2026-07-05</t>
        </is>
      </c>
    </row>
    <row r="13">
      <c r="A13" s="6" t="inlineStr">
        <is>
          <t>Federal News Network — 'Oil Prices Rise as Conflict in Middle East Resumes' — federalnewsnetwork.com — 2026-07</t>
        </is>
      </c>
    </row>
    <row r="14">
      <c r="A14" s="6" t="inlineStr">
        <is>
          <t>Cobertura agregada (Forbes, History of Market, TradingKey, FXStreet, The Motley Fool, State Street) sobre concentración Mag7, resultados Q2 2026, BoE — consultado 2026-08-03 (fuera de la lista estricta de fuentes de confianza; citadas con advertencia)</t>
        </is>
      </c>
    </row>
    <row r="15">
      <c r="A15" s="6" t="inlineStr">
        <is>
          <t>Trading Economics, MTFX, Wise — tipos de cambio EUR/USD, GBP/USD, USD/CHF — consultado 2026-08-02/03 (BCE primario no accesible en esta consulta)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2026-08-03T14:12:29Z</dcterms:created>
  <dcterms:modified xsi:type="dcterms:W3CDTF">2026-08-03T14:12:29Z</dcterms:modified>
</cp:coreProperties>
</file>